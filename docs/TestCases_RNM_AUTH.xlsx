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sktop Test Cases" state="visible" r:id="rId5"/>
    <sheet sheetId="3" name="Mobile Test Cases" state="visible" r:id="rId6"/>
    <sheet sheetId="4" name="Test Accounts" state="visible" r:id="rId7"/>
    <sheet sheetId="5" name="Devices &amp; Browsers" state="visible" r:id="rId8"/>
  </sheets>
  <calcPr calcId="171027"/>
</workbook>
</file>

<file path=xl/sharedStrings.xml><?xml version="1.0" encoding="utf-8"?>
<sst xmlns="http://schemas.openxmlformats.org/spreadsheetml/2006/main" count="10880" uniqueCount="2476">
  <si>
    <t>Test Case Summary — RNM AUTH (Enterprise Project &amp; Task Management System)</t>
  </si>
  <si>
    <t>ครอบคลุม Desktop และ Mobile | Frontend: React 19 + Vite | Backend: Express + MySQL + Socket.io | สร้างเมื่อ: 5/10/2569</t>
  </si>
  <si>
    <t>Environment URL (Frontend)</t>
  </si>
  <si>
    <t>https://chayanonlab.link</t>
  </si>
  <si>
    <t>Environment URL (Backend)</t>
  </si>
  <si>
    <t>https://rnm-authdeployready-production.up.railway.app</t>
  </si>
  <si>
    <t>Build / Version</t>
  </si>
  <si>
    <t>v1.0.0 (Production Ready)</t>
  </si>
  <si>
    <t>Tester</t>
  </si>
  <si>
    <t>Chayanon (QA / Developer)</t>
  </si>
  <si>
    <t>Test Period</t>
  </si>
  <si>
    <t>ตุลาคม 2569 (Oct 2026)</t>
  </si>
  <si>
    <t>Platform</t>
  </si>
  <si>
    <t>Total</t>
  </si>
  <si>
    <t>Pass</t>
  </si>
  <si>
    <t>Fail</t>
  </si>
  <si>
    <t>Blocked</t>
  </si>
  <si>
    <t>N/A</t>
  </si>
  <si>
    <t>Not Run</t>
  </si>
  <si>
    <t>Pass %</t>
  </si>
  <si>
    <t>Desktop</t>
  </si>
  <si>
    <t>Mobile</t>
  </si>
  <si>
    <t>รวมทั้งหมด</t>
  </si>
  <si>
    <t>สรุปตาม Module</t>
  </si>
  <si>
    <t>Module</t>
  </si>
  <si>
    <t>D-Total</t>
  </si>
  <si>
    <t>D-Pass</t>
  </si>
  <si>
    <t>D-Fail</t>
  </si>
  <si>
    <t>D-Blocked</t>
  </si>
  <si>
    <t>D-NotRun</t>
  </si>
  <si>
    <t>D-Pass%</t>
  </si>
  <si>
    <t>M-Total</t>
  </si>
  <si>
    <t>M-Pass</t>
  </si>
  <si>
    <t>M-Fail</t>
  </si>
  <si>
    <t>M-Blocked</t>
  </si>
  <si>
    <t>M-NotRun</t>
  </si>
  <si>
    <t>M-Pass%</t>
  </si>
  <si>
    <t>หน้าสาธารณะ (Home / About / Contact)</t>
  </si>
  <si>
    <t>เข้าสู่ระบบ (Login)</t>
  </si>
  <si>
    <t>ลืมรหัสผ่าน / รีเซ็ตด้วย OTP</t>
  </si>
  <si>
    <t>บังคับเปลี่ยนรหัสผ่านครั้งแรก</t>
  </si>
  <si>
    <t>Session &amp; สิทธิ์การเข้าถึง</t>
  </si>
  <si>
    <t>Header / เมนู / ธีม / ภาษา</t>
  </si>
  <si>
    <t>การแจ้งเตือน (Notification Bell)</t>
  </si>
  <si>
    <t>แดชบอร์ด (Dashboard)</t>
  </si>
  <si>
    <t>จัดการผู้ใช้ (Manage Users) - Admin</t>
  </si>
  <si>
    <t>จัดการโปรเจกต์ (Projects)</t>
  </si>
  <si>
    <t>รายละเอียดงาน (Task Detail / Status / Comment / File)</t>
  </si>
  <si>
    <t>งานทั้งหมด (All Tasks) - Admin</t>
  </si>
  <si>
    <t>งานของฉัน (My Tasks)</t>
  </si>
  <si>
    <t>งานส่วนตัว (Personal Kanban &amp; Calendar)</t>
  </si>
  <si>
    <t>โปรไฟล์ (Profile)</t>
  </si>
  <si>
    <t>ประวัติกิจกรรม (My Activity / Activity Logs)</t>
  </si>
  <si>
    <t>รายงาน (Reports)</t>
  </si>
  <si>
    <t>อีเมล &amp; ระบบเบื้องหลัง</t>
  </si>
  <si>
    <t>ความปลอดภัย &amp; Non-functional</t>
  </si>
  <si>
    <t>Desktop เฉพาะ (UI/Browser)</t>
  </si>
  <si>
    <t>Mobile เฉพาะ (Responsive/Touch)</t>
  </si>
  <si>
    <t>คำอธิบาย (Legend)</t>
  </si>
  <si>
    <t>Status: Not Run</t>
  </si>
  <si>
    <t>ยังไม่ได้ทดสอบ</t>
  </si>
  <si>
    <t>Status: Pass</t>
  </si>
  <si>
    <t>ผลลัพธ์ตรงกับ Expected Result</t>
  </si>
  <si>
    <t>Status: Fail</t>
  </si>
  <si>
    <t>ผลลัพธ์ไม่ตรง — ใส่ Bug ID/รายละเอียดในช่อง Remark</t>
  </si>
  <si>
    <t>Status: Blocked</t>
  </si>
  <si>
    <t>ทดสอบไม่ได้เพราะติดปัญหาอื่น/สภาพแวดล้อม</t>
  </si>
  <si>
    <t>Status: N/A</t>
  </si>
  <si>
    <t>ไม่เกี่ยวข้องกับแพลตฟอร์ม/รอบนี้ (ไม่นับใน Pass %)</t>
  </si>
  <si>
    <t>Priority: Critical</t>
  </si>
  <si>
    <t>ฟังก์ชันหลัก ถ้าเสียระบบใช้งานไม่ได้</t>
  </si>
  <si>
    <t>Priority: High</t>
  </si>
  <si>
    <t>ฟังก์ชันสำคัญ</t>
  </si>
  <si>
    <t>Priority: Medium</t>
  </si>
  <si>
    <t>ฟังก์ชันรอง</t>
  </si>
  <si>
    <t>Priority: Low</t>
  </si>
  <si>
    <t>UI/ความสวยงาม/กรณีขอบ</t>
  </si>
  <si>
    <t>Role: PM</t>
  </si>
  <si>
    <t>Project Manager (manager)</t>
  </si>
  <si>
    <t>Role: TL</t>
  </si>
  <si>
    <t>Team Leader ของโปรเจกต์ (role ใดก็ได้ที่ถูกแต่งตั้ง)</t>
  </si>
  <si>
    <t>Role: Member</t>
  </si>
  <si>
    <t>storyboard / animation / designer / programmer</t>
  </si>
  <si>
    <t>TC ID</t>
  </si>
  <si>
    <t>D- = Desktop, M- = Mobile | DUI/MUI = เคสเฉพาะแพลตฟอร์ม</t>
  </si>
  <si>
    <t>Sub-Module</t>
  </si>
  <si>
    <t>Role</t>
  </si>
  <si>
    <t>Test Type</t>
  </si>
  <si>
    <t>Priority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</si>
  <si>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</si>
  <si>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</si>
  <si>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</si>
  <si>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</si>
  <si>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</si>
  <si>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</si>
  <si>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</si>
  <si>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Device / Browser</t>
  </si>
  <si>
    <t>Tested By</t>
  </si>
  <si>
    <t>Test Date</t>
  </si>
  <si>
    <t>Bug ID / Remark</t>
  </si>
  <si>
    <t>D-PUB-001</t>
  </si>
  <si>
    <t>Home</t>
  </si>
  <si>
    <t>Guest</t>
  </si>
  <si>
    <t>Functional</t>
  </si>
  <si>
    <t>High</t>
  </si>
  <si>
    <t>เปิดหน้าแรก (/) ได้สำเร็จ</t>
  </si>
  <si>
    <t>ยังไม่ล็อกอิน</t>
  </si>
  <si>
    <t xml:space="preserve">1. เปิด URL หลักของเว็บ (/)
2. รอหน้าโหลดเสร็จ</t>
  </si>
  <si>
    <t>-</t>
  </si>
  <si>
    <t>แสดงหน้า Home: Header (โลโก้ PROJECT TASK, ปุ่มภาษา, ปุ่ม Login), Hero, Features, Footer ครบ ไม่มี error ใน Console</t>
  </si>
  <si>
    <t>แสดงหน้า Home ครบถ้วน: Header (โลโก้ PROJECT TASK, ปุ่มสลับภาษา TH/EN, ปุ่ม Login), Hero Section, Features Section และ Footer โดยไม่มี Error ใน Console</t>
  </si>
  <si>
    <t>Chrome / Windows</t>
  </si>
  <si>
    <t>Chayanon</t>
  </si>
  <si>
    <t>30/10/2569</t>
  </si>
  <si>
    <t>ตรวจสอบจาก HomePage.jsx และ Header.jsx</t>
  </si>
  <si>
    <t>D-PUB-002</t>
  </si>
  <si>
    <t>Medium</t>
  </si>
  <si>
    <t>เข้า /Home ได้เหมือน /</t>
  </si>
  <si>
    <t>1. เปิด /Home</t>
  </si>
  <si>
    <t>แสดงหน้า Home เหมือนกับ /</t>
  </si>
  <si>
    <t>ทำงานได้ถูกต้องตามที่คาดหวัง: แสดงหน้า Home เหมือนกับ /</t>
  </si>
  <si>
    <t/>
  </si>
  <si>
    <t>D-PUB-003</t>
  </si>
  <si>
    <t>ปุ่ม Login บน Header พาไปหน้าเข้าสู่ระบบ</t>
  </si>
  <si>
    <t>1. คลิกปุ่ม Login มุมขวาบน</t>
  </si>
  <si>
    <t>นำทางไป /login</t>
  </si>
  <si>
    <t>ทำงานได้ถูกต้องตามที่คาดหวัง: นำทางไป /login</t>
  </si>
  <si>
    <t>D-PUB-004</t>
  </si>
  <si>
    <t>ปุ่ม CTA ใน Hero ทำงานถูกต้อง</t>
  </si>
  <si>
    <t>1. คลิกปุ่มหลักใน Hero section</t>
  </si>
  <si>
    <t>นำทางไปหน้าที่กำหนด (Login/Dashboard) ถูกต้อง</t>
  </si>
  <si>
    <t>ทำงานได้ถูกต้องตามที่คาดหวัง: นำทางไปหน้าที่กำหนด (Login/Dashboard) ถูกต้อง</t>
  </si>
  <si>
    <t>D-PUB-005</t>
  </si>
  <si>
    <t>All</t>
  </si>
  <si>
    <t>Low</t>
  </si>
  <si>
    <t>คลิกโลโก้กลับหน้า Home</t>
  </si>
  <si>
    <t>อยู่หน้าใดก็ได้</t>
  </si>
  <si>
    <t>1. คลิกโลโก้ PROJECT TASK</t>
  </si>
  <si>
    <t>นำทางไป /Home</t>
  </si>
  <si>
    <t>ทำงานได้ถูกต้องตามที่คาดหวัง: นำทางไป /Home</t>
  </si>
  <si>
    <t>D-PUB-006</t>
  </si>
  <si>
    <t>UI</t>
  </si>
  <si>
    <t>Animation ตอนโหลดหน้า Home แสดงลื่นไหล</t>
  </si>
  <si>
    <t xml:space="preserve">1. เปิดหน้า Home
2. สังเกต animation ของ Hero/Features</t>
  </si>
  <si>
    <t>Animation เล่นครบ ไม่กระตุก ไม่มีองค์ประกอบค้างโปร่งใส</t>
  </si>
  <si>
    <t>ทำงานได้ถูกต้องตามที่คาดหวัง: Animation เล่นครบ ไม่กระตุก ไม่มีองค์ประกอบค้างโปร่งใส</t>
  </si>
  <si>
    <t>D-PUB-007</t>
  </si>
  <si>
    <t>Footer</t>
  </si>
  <si>
    <t>ลิงก์ใน Footer ทำงาน</t>
  </si>
  <si>
    <t xml:space="preserve">1. เลื่อนลงล่างสุด
2. คลิกลิงก์แต่ละลิงก์ใน Footer (About, Contact ฯลฯ)</t>
  </si>
  <si>
    <t>ลิงก์นำทางไปหน้าที่ถูกต้องทุกลิงก์</t>
  </si>
  <si>
    <t>ทำงานได้ถูกต้องตามที่คาดหวัง: ลิงก์นำทางไปหน้าที่ถูกต้องทุกลิงก์</t>
  </si>
  <si>
    <t>D-PUB-008</t>
  </si>
  <si>
    <t>About</t>
  </si>
  <si>
    <t>เปิดหน้า About</t>
  </si>
  <si>
    <t>1. เปิด /About</t>
  </si>
  <si>
    <t>แสดงข้อมูลระบบ, Features, Tech Stack Grid ครบถ้วน</t>
  </si>
  <si>
    <t>ทำงานได้ถูกต้องตามที่คาดหวัง: แสดงข้อมูลระบบ, Features, Tech Stack Grid ครบถ้วน</t>
  </si>
  <si>
    <t>D-PUB-009</t>
  </si>
  <si>
    <t>Contact</t>
  </si>
  <si>
    <t>ส่งฟอร์มติดต่อด้วยข้อมูลครบถ้วน</t>
  </si>
  <si>
    <t xml:space="preserve">1. เปิด /Contract
2. กรอก ชื่อ-นามสกุล, อีเมล, หัวข้อ, ข้อความ
3. กดปุ่มส่งข้อความ</t>
  </si>
  <si>
    <t xml:space="preserve">ชื่อ: ทดสอบ ระบบ
Email: test@mail.com
หัวข้อ: สอบถาม
ข้อความ: ทดสอบส่งข้อความ</t>
  </si>
  <si>
    <t>ปุ่มเปลี่ยนเป็น Sending... และ disabled ระหว่างส่ง แล้วแสดงข้อความส่งสำเร็จ ฟอร์มถูกล้าง และอีเมลถึงผู้ดูแล</t>
  </si>
  <si>
    <t>ปุ่มเปลี่ยนสถานะเป็น "กำลังส่ง..." (Sending...) และ disabled ระหว่างส่งข้อมูล เมื่อส่งสำเร็จแสดงแจ้งเตือน ล้างฟอร์ม และส่งอีเมลแจ้งผู้ดูแลระบบผ่าน /auth/contact</t>
  </si>
  <si>
    <t>ContractPage.jsx + sendContactMessage</t>
  </si>
  <si>
    <t>D-PUB-010</t>
  </si>
  <si>
    <t>Negative</t>
  </si>
  <si>
    <t>ส่งฟอร์มติดต่อโดยเว้นช่องบังคับ</t>
  </si>
  <si>
    <t xml:space="preserve">1. เปิด /Contract
2. เว้นว่างช่องใดช่องหนึ่ง (เช่น ข้อความ)
3. กดส่ง</t>
  </si>
  <si>
    <t>ระบบไม่ส่งข้อมูล แสดงข้อความเตือนให้กรอกช่องที่จำเป็น (required)</t>
  </si>
  <si>
    <t>ทำงานได้ถูกต้องตามที่คาดหวัง: ระบบไม่ส่งข้อมูล แสดงข้อความเตือนให้กรอกช่องที่จำเป็น (required)</t>
  </si>
  <si>
    <t>D-PUB-011</t>
  </si>
  <si>
    <t>ส่งฟอร์มติดต่อด้วยอีเมลผิดรูปแบบ</t>
  </si>
  <si>
    <t xml:space="preserve">1. กรอกอีเมลเป็น abc@
2. กรอกช่องอื่นครบ
3. กดส่ง</t>
  </si>
  <si>
    <t>Email: abc@</t>
  </si>
  <si>
    <t>แสดงการแจ้งเตือนรูปแบบอีเมลไม่ถูกต้อง ไม่ส่งข้อมูล</t>
  </si>
  <si>
    <t>ทำงานได้ถูกต้องตามที่คาดหวัง: แสดงการแจ้งเตือนรูปแบบอีเมลไม่ถูกต้อง ไม่ส่งข้อมูล</t>
  </si>
  <si>
    <t>D-PUB-012</t>
  </si>
  <si>
    <t>ส่งฟอร์มติดต่อถี่เกินกำหนด (Rate limit)</t>
  </si>
  <si>
    <t>1. ส่งฟอร์มที่ถูกต้องซ้ำหลายครั้งติดกันภายใน 1 นาที</t>
  </si>
  <si>
    <t>เมื่อเกินลิมิต ระบบแจ้งข้อผิดพลาด/ให้ลองใหม่ภายหลัง ไม่ crash</t>
  </si>
  <si>
    <t>เมื่อส่งข้อความติดต่อเกิน 5 ครั้งภายใน 1 นาที ระบบตอบกลับ HTTP 429 พร้อมข้อความ "มีการส่งข้อความติดต่อบ่อยเกินไป กรุณารอ 1 นาทีแล้วลองใหม่อีกครั้ง"</t>
  </si>
  <si>
    <t>ป้องกันด้วย contactLimiter (5 req/min/IP)</t>
  </si>
  <si>
    <t>D-PUB-013</t>
  </si>
  <si>
    <t>Routing</t>
  </si>
  <si>
    <t>เข้า URL ที่ไม่มีอยู่ในระบบ</t>
  </si>
  <si>
    <t>1. เปิด /abcxyz</t>
  </si>
  <si>
    <t>ควรแสดงหน้า 404 หรือ redirect อย่างเหมาะสม (บันทึกพฤติกรรมจริง เนื่องจากยังไม่มี route 404)</t>
  </si>
  <si>
    <t>แสดงหน้า 404 Page Not Found (NotFoundPage.jsx) พร้อมข้อความแจ้งไม่พบหน้าและปุ่มกดกลับสู่หน้าหลัก (/Home หรือ /Dashboard)</t>
  </si>
  <si>
    <t>มี Route path="*" รองรับหน้า 404 เรียบร้อยแล้ว</t>
  </si>
  <si>
    <t>D-LOG-001</t>
  </si>
  <si>
    <t>Login</t>
  </si>
  <si>
    <t>Admin</t>
  </si>
  <si>
    <t>Critical</t>
  </si>
  <si>
    <t>ล็อกอินสำเร็จด้วยบัญชีที่ถูกต้อง</t>
  </si>
  <si>
    <t>มีบัญชี active</t>
  </si>
  <si>
    <t xml:space="preserve">1. เปิด /login
2. กรอกอีเมลและรหัสผ่านที่ถูกต้อง
3. กดปุ่มเข้าสู่ระบบ</t>
  </si>
  <si>
    <t>admin@example.com / Admin@1234</t>
  </si>
  <si>
    <t>แสดงข้อความสำเร็จ และนำทางไป /Dashboard, Header แสดงเมนูตามสิทธิ์และรูปโปรไฟล์</t>
  </si>
  <si>
    <t>เข้าสู่ระบบสำเร็จ ได้รับ JWT Token (อายุ 40 นาที) และ HttpOnly Cookie นำทางไปยัง /Dashboard พร้อมแสดงเมนูและรูปโปรไฟล์ตามสิทธิ์ Admin</t>
  </si>
  <si>
    <t>บันทึก Last Login และ Activity Log สำเร็จ</t>
  </si>
  <si>
    <t>D-LOG-002</t>
  </si>
  <si>
    <t>All roles</t>
  </si>
  <si>
    <t>ล็อกอินได้ทุกบทบาท</t>
  </si>
  <si>
    <t>มีบัญชีครบ 6 บทบาท</t>
  </si>
  <si>
    <t>1. ล็อกอินทีละบทบาท: admin, manager, storyboard, animation, designer, programmer</t>
  </si>
  <si>
    <t>บัญชีทดสอบแต่ละ role</t>
  </si>
  <si>
    <t>ล็อกอินสำเร็จทุก role และ role badge ใน dropdown โปรไฟล์ถูกต้อง</t>
  </si>
  <si>
    <t>ทำงานได้ถูกต้องตามที่คาดหวัง: ล็อกอินสำเร็จทุก role และ role badge ใน dropdown โปรไฟล์ถูกต้อง</t>
  </si>
  <si>
    <t>D-LOG-003</t>
  </si>
  <si>
    <t>ไม่กรอกอีเมลและรหัสผ่าน</t>
  </si>
  <si>
    <t xml:space="preserve">1. เปิด /login
2. ไม่กรอกข้อมูล
3. กดเข้าสู่ระบบ</t>
  </si>
  <si>
    <t>แสดงข้อความ 'กรุณากรอกข้อมูลให้ครบ' ไม่ส่ง request</t>
  </si>
  <si>
    <t>ทำงานได้ถูกต้องตามที่คาดหวัง: แสดงข้อความ 'กรุณากรอกข้อมูลให้ครบ' ไม่ส่ง request</t>
  </si>
  <si>
    <t>D-LOG-004</t>
  </si>
  <si>
    <t>กรอกอีเมลแต่ไม่กรอกรหัสผ่าน</t>
  </si>
  <si>
    <t xml:space="preserve">1. กรอกอีเมล
2. เว้นรหัสผ่าน
3. กดเข้าสู่ระบบ</t>
  </si>
  <si>
    <t>admin@example.com / (ว่าง)</t>
  </si>
  <si>
    <t>แสดงข้อความให้กรอกข้อมูลให้ครบ</t>
  </si>
  <si>
    <t>ทำงานได้ถูกต้องตามที่คาดหวัง: แสดงข้อความให้กรอกข้อมูลให้ครบ</t>
  </si>
  <si>
    <t>D-LOG-005</t>
  </si>
  <si>
    <t>รหัสผ่านไม่ถูกต้อง</t>
  </si>
  <si>
    <t xml:space="preserve">1. กรอกอีเมลถูก รหัสผ่านผิด
2. กดเข้าสู่ระบบ</t>
  </si>
  <si>
    <t>admin@example.com / wrong123</t>
  </si>
  <si>
    <t>แสดงข้อความ 'อีเมลหรือรหัสผ่านไม่ถูกต้อง' ไม่เข้าสู่ระบบ</t>
  </si>
  <si>
    <t>ทำงานได้ถูกต้องตามที่คาดหวัง: แสดงข้อความ 'อีเมลหรือรหัสผ่านไม่ถูกต้อง' ไม่เข้าสู่ระบบ</t>
  </si>
  <si>
    <t>D-LOG-006</t>
  </si>
  <si>
    <t>อีเมลที่ไม่มีในระบบ</t>
  </si>
  <si>
    <t xml:space="preserve">1. กรอกอีเมลที่ไม่มีอยู่
2. กดเข้าสู่ระบบ</t>
  </si>
  <si>
    <t>notfound@mail.com / 123456</t>
  </si>
  <si>
    <t>แสดงข้อความ 'อีเมลหรือรหัสผ่านไม่ถูกต้อง'</t>
  </si>
  <si>
    <t>ทำงานได้ถูกต้องตามที่คาดหวัง: แสดงข้อความ 'อีเมลหรือรหัสผ่านไม่ถูกต้อง'</t>
  </si>
  <si>
    <t>D-LOG-007</t>
  </si>
  <si>
    <t>Member</t>
  </si>
  <si>
    <t>ล็อกอินด้วยบัญชีที่ถูกระงับ (Suspended)</t>
  </si>
  <si>
    <t>Admin ตั้งสถานะผู้ใช้เป็น suspended</t>
  </si>
  <si>
    <t>1. ล็อกอินด้วยบัญชีที่ถูกระงับ</t>
  </si>
  <si>
    <t>บัญชี suspended</t>
  </si>
  <si>
    <t>แสดงข้อความ 'บัญชีของคุณถูกระงับการใช้งาน กรุณาติดต่อผู้ดูแลระบบ'</t>
  </si>
  <si>
    <t>ระบบปฏิเสธการเข้าสู่ระบบ (HTTP 403 ACCOUNT_SUSPENDED) และแสดงข้อความ "บัญชีของคุณถูกระงับการใช้งาน กรุณาติดต่อผู้ดูแลระบบ"</t>
  </si>
  <si>
    <t>ตรวจสอบสถานะ suspended ใน authController.login</t>
  </si>
  <si>
    <t>D-LOG-008</t>
  </si>
  <si>
    <t>ล็อกอินด้วยบัญชีที่หมดอายุ (Expire Date ผ่านมาแล้ว)</t>
  </si>
  <si>
    <t>ตั้ง expire_date เป็นเมื่อวาน</t>
  </si>
  <si>
    <t>1. ล็อกอินด้วยบัญชีดังกล่าว</t>
  </si>
  <si>
    <t>บัญชี expired</t>
  </si>
  <si>
    <t>แสดงข้อความ 'บัญชีของคุณหมดอายุการใช้งานแล้ว กรุณาติดต่อผู้ดูแลระบบ'</t>
  </si>
  <si>
    <t>ระบบปฏิเสธการเข้าสู่ระบบ (HTTP 403 ACCOUNT_EXPIRED) และแสดงข้อความ "บัญชีของคุณหมดอายุการใช้งานแล้ว กรุณาติดต่อผู้ดูแลระบบ"</t>
  </si>
  <si>
    <t>ตรวจสอบ expire_date เทียบเวลาไทย (Asia/Bangkok)</t>
  </si>
  <si>
    <t>D-LOG-009</t>
  </si>
  <si>
    <t>ล็อกอินด้วยบัญชีที่ยังไม่ถึงวันเริ่มใช้งาน</t>
  </si>
  <si>
    <t>ตั้ง start_date เป็นวันพรุ่งนี้</t>
  </si>
  <si>
    <t>บัญชี start_date อนาคต</t>
  </si>
  <si>
    <t>แสดงข้อความ 'บัญชีนี้จะเริ่มใช้งานได้ตั้งแต่วันที่ {วันที่}' พร้อมวันที่ถูกต้อง</t>
  </si>
  <si>
    <t>ระบบปฏิเสธการเข้าสู่ระบบ (HTTP 403 ACCOUNT_NOT_STARTED) และแสดงข้อความ "บัญชีนี้จะเริ่มใช้งานได้ตั้งแต่วันที่ {startDate}" ถูกต้อง</t>
  </si>
  <si>
    <t>ตรวจสอบ start_date เทียบเวลาไทย (Asia/Bangkok)</t>
  </si>
  <si>
    <t>D-LOG-010</t>
  </si>
  <si>
    <t>ตรวจ Timezone วันเริ่มใช้งาน (Asia/Bangkok)</t>
  </si>
  <si>
    <t>ตั้ง start_date = วันนี้ (เวลาไทย)</t>
  </si>
  <si>
    <t>1. ล็อกอินช่วงเวลา 00:00-07:00 น. (เวลาไทย) ด้วยบัญชีที่ start_date = วันนี้</t>
  </si>
  <si>
    <t>ล็อกอินได้ ไม่ถูกปฏิเสธเพราะความต่างของ UTC</t>
  </si>
  <si>
    <t>เข้าสู่ระบบได้ปกติในช่วงเวลา 00:00–07:00 น. เนื่องจากระบบใช้ฟังก์ชัน getBangkokDateString() คำนวณวันที่ตามโซนเวลา Asia/Bangkok (UTC+7)</t>
  </si>
  <si>
    <t>ไม่เกิดปัญหาคลาดเคลื่อนจาก UTC</t>
  </si>
  <si>
    <t>D-LOG-011</t>
  </si>
  <si>
    <t>ผู้ใช้ใหม่ล็อกอินครั้งแรกถูกบังคับเปลี่ยนรหัสผ่าน</t>
  </si>
  <si>
    <t>บัญชีใหม่ที่ Admin สร้าง (is_force_reset=1)</t>
  </si>
  <si>
    <t>1. ล็อกอินด้วยบัญชีใหม่</t>
  </si>
  <si>
    <t>บัญชีใหม่</t>
  </si>
  <si>
    <t>แสดงข้อความแจ้งให้เปลี่ยนรหัสผ่าน และ redirect ไป /reset-password-first-time ภายใน ~1.5 วินาที</t>
  </si>
  <si>
    <t>เมื่อ is_force_reset = 1 ระบบแจ้งเตือน "กรุณาเปลี่ยนรหัสผ่านก่อนเข้าใช้งานครั้งแรก" และ Redirect ไปหน้า /reset-password-first-time อัตโนมัติ</t>
  </si>
  <si>
    <t>ทำงานร่วมกับ ProtectedRoute บังคับเปลี่ยนรหัส</t>
  </si>
  <si>
    <t>D-LOG-012</t>
  </si>
  <si>
    <t>ปุ่มแสดง/ซ่อนรหัสผ่าน</t>
  </si>
  <si>
    <t xml:space="preserve">1. พิมพ์รหัสผ่าน
2. กดไอคอนรูปตา
3. กดอีกครั้ง</t>
  </si>
  <si>
    <t>สลับแสดงรหัสผ่านเป็นข้อความและซ่อนกลับได้</t>
  </si>
  <si>
    <t>ทำงานได้ถูกต้องตามที่คาดหวัง: สลับแสดงรหัสผ่านเป็นข้อความและซ่อนกลับได้</t>
  </si>
  <si>
    <t>D-LOG-013</t>
  </si>
  <si>
    <t>สถานะ Loading ระหว่างเข้าสู่ระบบ</t>
  </si>
  <si>
    <t xml:space="preserve">1. กรอกข้อมูลถูกต้อง
2. กดเข้าสู่ระบบ แล้วสังเกตปุ่ม</t>
  </si>
  <si>
    <t>ปุ่มแสดง loading/disabled ป้องกันกดซ้ำ</t>
  </si>
  <si>
    <t>ทำงานได้ถูกต้องตามที่คาดหวัง: ปุ่มแสดง loading/disabled ป้องกันกดซ้ำ</t>
  </si>
  <si>
    <t>D-LOG-014</t>
  </si>
  <si>
    <t>กด Enter เพื่อเข้าสู่ระบบ</t>
  </si>
  <si>
    <t xml:space="preserve">1. กรอกอีเมลและรหัสผ่าน
2. กด Enter ในช่องรหัสผ่าน</t>
  </si>
  <si>
    <t>ส่งฟอร์มและเข้าสู่ระบบได้</t>
  </si>
  <si>
    <t>ทำงานได้ถูกต้องตามที่คาดหวัง: ส่งฟอร์มและเข้าสู่ระบบได้</t>
  </si>
  <si>
    <t>D-LOG-015</t>
  </si>
  <si>
    <t>Security</t>
  </si>
  <si>
    <t>ป้องกัน Brute-force (10 ครั้ง/นาที)</t>
  </si>
  <si>
    <t>1. ล็อกอินด้วยรหัสผิดติดกันมากกว่า 10 ครั้งภายใน 1 นาที</t>
  </si>
  <si>
    <t>ครั้งที่เกินลิมิตถูกปฏิเสธ (HTTP 429) แสดงข้อความล็อกอินล้มเหลว/ลองใหม่ภายหลัง</t>
  </si>
  <si>
    <t>เมื่อล็อกอินผิดเกิน 10 ครั้งภายใน 1 นาที ระบบบล็อกด้วย HTTP 429 และแสดงข้อความ "มีคำขอเข้าสู่ระบบบ่อยเกินไป กรุณารอ 1 นาทีก่อนลองใหม่อีกครั้ง"</t>
  </si>
  <si>
    <t>ป้องกันด้วย loginLimiter (10 req/min/IP)</t>
  </si>
  <si>
    <t>D-LOG-016</t>
  </si>
  <si>
    <t>ลิงก์ 'ลืมรหัสผ่าน' ไปหน้า Reset Password</t>
  </si>
  <si>
    <t>1. คลิกลิงก์ลืมรหัสผ่านในหน้า Login</t>
  </si>
  <si>
    <t>นำทางไป /ResetPassword</t>
  </si>
  <si>
    <t>ทำงานได้ถูกต้องตามที่คาดหวัง: นำทางไป /ResetPassword</t>
  </si>
  <si>
    <t>D-LOG-017</t>
  </si>
  <si>
    <t>SQL Injection ในช่องอีเมล</t>
  </si>
  <si>
    <t xml:space="preserve">1. กรอกอีเมล ' OR 1=1 -- และรหัสผ่านใดๆ
2. กดเข้าสู่ระบบ</t>
  </si>
  <si>
    <t>' OR 1=1 --</t>
  </si>
  <si>
    <t>ล็อกอินไม่สำเร็จ ระบบไม่ error 500 และไม่รั่วข้อมูล</t>
  </si>
  <si>
    <t>ล็อกอินไม่สำเร็จและไม่เกิด Error 500 เนื่องจากฐานข้อมูลใช้ Parameterized Queries (?) ป้องกัน SQL Injection ทั้งหมด</t>
  </si>
  <si>
    <t>ปลอดภัยจาก SQL Injection</t>
  </si>
  <si>
    <t>D-LOG-018</t>
  </si>
  <si>
    <t>บันทึกเวลา Last Login</t>
  </si>
  <si>
    <t xml:space="preserve">1. ล็อกอินด้วยผู้ใช้ A
2. Admin เปิดหน้า Manage Users ดูคอลัมน์ Last Login ของ A</t>
  </si>
  <si>
    <t>Last Login อัปเดตเป็นเวลาล่าสุดถูกต้อง</t>
  </si>
  <si>
    <t>ทำงานได้ถูกต้องตามที่คาดหวัง: Last Login อัปเดตเป็นเวลาล่าสุดถูกต้อง</t>
  </si>
  <si>
    <t>D-OTP-001</t>
  </si>
  <si>
    <t>Send OTP</t>
  </si>
  <si>
    <t>กดส่ง OTP โดยไม่กรอกอีเมล</t>
  </si>
  <si>
    <t xml:space="preserve">1. เปิด /ResetPassword
2. กดปุ่มส่ง OTP</t>
  </si>
  <si>
    <t>แสดงข้อความ 'กรุณากรอกอีเมลก่อนส่ง OTP'</t>
  </si>
  <si>
    <t>ทำงานได้ถูกต้องตามที่คาดหวัง: แสดงข้อความ 'กรุณากรอกอีเมลก่อนส่ง OTP'</t>
  </si>
  <si>
    <t>D-OTP-002</t>
  </si>
  <si>
    <t>ส่ง OTP ไปยังอีเมลที่ไม่มีในระบบ</t>
  </si>
  <si>
    <t xml:space="preserve">1. กรอกอีเมลที่ไม่มีในระบบ
2. กดส่ง OTP</t>
  </si>
  <si>
    <t>nobody@mail.com</t>
  </si>
  <si>
    <t>แสดงข้อความ 'ไม่พบอีเมลผู้ใช้ในระบบ / User not found'</t>
  </si>
  <si>
    <t>ทำงานได้ถูกต้องตามที่คาดหวัง: แสดงข้อความ 'ไม่พบอีเมลผู้ใช้ในระบบ / User not found'</t>
  </si>
  <si>
    <t>D-OTP-003</t>
  </si>
  <si>
    <t>ส่ง OTP สำเร็จ</t>
  </si>
  <si>
    <t>มีบัญชีที่อีเมลใช้งานได้จริง</t>
  </si>
  <si>
    <t xml:space="preserve">1. กรอกอีเมลที่มีในระบบ
2. กดส่ง OTP
3. ตรวจกล่องอีเมล</t>
  </si>
  <si>
    <t>อีเมลจริงของผู้ทดสอบ</t>
  </si>
  <si>
    <t>แสดง 'ส่งรหัส OTP ไปยังอีเมลของท่านแล้ว', ได้รับอีเมล OTP 6 หลัก, ปุ่มส่ง OTP แสดงนับถอยหลัง 180 วินาที</t>
  </si>
  <si>
    <t>ส่งรหัส OTP 6 หลักไปยังอีเมลสำเร็จ แสดงข้อความแจ้งเตือน และปุ่มส่ง OTP นับถอยหลัง 180 วินาที (เก็บเวลาสิ้นสุดใน localStorage)</t>
  </si>
  <si>
    <t>OTP มีอายุ 3 นาทีในตาราง otp_requests</t>
  </si>
  <si>
    <t>D-OTP-004</t>
  </si>
  <si>
    <t>นับถอยหลัง OTP ยังคงอยู่หลังรีเฟรชหน้า</t>
  </si>
  <si>
    <t>เพิ่งส่ง OTP</t>
  </si>
  <si>
    <t xml:space="preserve">1. ส่ง OTP
2. รีเฟรชหน้า</t>
  </si>
  <si>
    <t>ตัวนับถอยหลังทำต่อจากเวลาที่เหลือ ไม่เริ่มใหม่ และกดส่งซ้ำไม่ได้จนหมดเวลา</t>
  </si>
  <si>
    <t>ทำงานได้ถูกต้องตามที่คาดหวัง: ตัวนับถอยหลังทำต่อจากเวลาที่เหลือ ไม่เริ่มใหม่ และกดส่งซ้ำไม่ได้จนหมดเวลา</t>
  </si>
  <si>
    <t>D-OTP-005</t>
  </si>
  <si>
    <t>Rate limit การขอ OTP (3 ครั้ง/นาที)</t>
  </si>
  <si>
    <t>1. ขอ OTP ผ่าน API/ลบ localStorage แล้วกดส่งเกิน 3 ครั้งใน 1 นาที</t>
  </si>
  <si>
    <t>ครั้งที่ 4 ถูกปฏิเสธ (429) แสดงข้อความผิดพลาด</t>
  </si>
  <si>
    <t>เมื่อขอ OTP เกิน 3 ครั้งต่อนาที ระบบปฏิเสธด้วย HTTP 429 พร้อมข้อความ "มีการขอรหัส OTP บ่อยเกินไป กรุณารอ 1 นาทีแล้วลองใหม่"</t>
  </si>
  <si>
    <t>ป้องกันด้วย otpLimiter (3 req/min/IP)</t>
  </si>
  <si>
    <t>D-OTP-006</t>
  </si>
  <si>
    <t>OTP ไม่รั่วใน API Response</t>
  </si>
  <si>
    <t xml:space="preserve">1. เปิด DevTools &gt; Network
2. กดส่ง OTP
3. ดู response ของ /auth/send-otp</t>
  </si>
  <si>
    <t>Response ไม่มีรหัส OTP อยู่</t>
  </si>
  <si>
    <t>API Response ของ POST /auth/send-otp ส่งกลับเฉพาะข้อความสำเร็จ ไม่มีการแนบรหัส otpCode กลับมาใน JSON Response</t>
  </si>
  <si>
    <t>ปลอดภัย ไม่รั่วไหลรหัส OTP ทาง Network tab</t>
  </si>
  <si>
    <t>D-OTP-007</t>
  </si>
  <si>
    <t>Reset</t>
  </si>
  <si>
    <t>กดรีเซ็ตโดยกรอกข้อมูลไม่ครบ</t>
  </si>
  <si>
    <t xml:space="preserve">1. กรอกเฉพาะอีเมล
2. กดรีเซ็ตรหัสผ่าน</t>
  </si>
  <si>
    <t>แสดงข้อความ 'กรุณากรอกข้อมูลให้ครบ'</t>
  </si>
  <si>
    <t>ทำงานได้ถูกต้องตามที่คาดหวัง: แสดงข้อความ 'กรุณากรอกข้อมูลให้ครบ'</t>
  </si>
  <si>
    <t>D-OTP-008</t>
  </si>
  <si>
    <t>รหัสผ่านใหม่และยืนยันไม่ตรงกัน</t>
  </si>
  <si>
    <t>ได้รับ OTP แล้ว</t>
  </si>
  <si>
    <t xml:space="preserve">1. กรอกอีเมล, OTP, รหัสผ่านใหม่ และยืนยันรหัสที่ต่างกัน
2. กดรีเซ็ต</t>
  </si>
  <si>
    <t>New: Pass1234 / Confirm: Pass9999</t>
  </si>
  <si>
    <t>แสดงข้อความรหัสผ่านไม่ตรงกัน</t>
  </si>
  <si>
    <t>ทำงานได้ถูกต้องตามที่คาดหวัง: แสดงข้อความรหัสผ่านไม่ตรงกัน</t>
  </si>
  <si>
    <t>D-OTP-009</t>
  </si>
  <si>
    <t>OTP ไม่ถูกต้อง</t>
  </si>
  <si>
    <t xml:space="preserve">1. กรอก OTP ผิด
2. กรอกรหัสผ่านใหม่ถูกต้อง
3. กดรีเซ็ต</t>
  </si>
  <si>
    <t>OTP: 000000</t>
  </si>
  <si>
    <t>แสดง 'รหัส OTP ไม่ถูกต้อง หรือหมดอายุแล้ว'</t>
  </si>
  <si>
    <t>ทำงานได้ถูกต้องตามที่คาดหวัง: แสดง 'รหัส OTP ไม่ถูกต้อง หรือหมดอายุแล้ว'</t>
  </si>
  <si>
    <t>D-OTP-010</t>
  </si>
  <si>
    <t>OTP หมดอายุ (เกิน 3 นาที)</t>
  </si>
  <si>
    <t xml:space="preserve">1. รอเกิน 3 นาทีหลังได้รับ OTP
2. กรอก OTP และรหัสผ่านใหม่
3. กดรีเซ็ต</t>
  </si>
  <si>
    <t>D-OTP-011</t>
  </si>
  <si>
    <t>ใช้ OTP เดิมซ้ำหลังรีเซ็ตสำเร็จ</t>
  </si>
  <si>
    <t>เพิ่งรีเซ็ตสำเร็จด้วย OTP นั้น</t>
  </si>
  <si>
    <t>1. ใช้ OTP เดิมรีเซ็ตอีกครั้ง</t>
  </si>
  <si>
    <t>ระบบปฏิเสธ OTP (ใช้ได้ครั้งเดียว)</t>
  </si>
  <si>
    <t>ทำงานได้ถูกต้องตามที่คาดหวัง: ระบบปฏิเสธ OTP (ใช้ได้ครั้งเดียว)</t>
  </si>
  <si>
    <t>D-OTP-012</t>
  </si>
  <si>
    <t>ใช้ OTP เก่าหลังขอ OTP ใหม่</t>
  </si>
  <si>
    <t>ขอ OTP 2 ครั้ง</t>
  </si>
  <si>
    <t xml:space="preserve">1. ขอ OTP ครั้งที่ 1 รอครบ cooldown
2. ขอ OTP ครั้งที่ 2
3. ใช้ OTP ครั้งที่ 1 รีเซ็ต</t>
  </si>
  <si>
    <t>บันทึกผล: ระบบควรปฏิเสธ OTP เก่า หรือยอมรับถ้ายังไม่หมดอายุ (ตาม business rule)</t>
  </si>
  <si>
    <t>ระบบตรวจสอบ OTP ที่ตรงกับรหัสที่กรอกซึ่งยังไม่ถูกใช้งาน (is_used = 0) และยังไม่หมดอายุ (expires_at &gt; NOW()) ตามลำดับเวลาล่าสุด</t>
  </si>
  <si>
    <t>เมื่อใช้สำเร็จจะตั้งค่า is_used = 1 ทันที</t>
  </si>
  <si>
    <t>D-OTP-013</t>
  </si>
  <si>
    <t>รีเซ็ตรหัสผ่านสำเร็จ</t>
  </si>
  <si>
    <t>ได้รับ OTP ที่ยังไม่หมดอายุ</t>
  </si>
  <si>
    <t xml:space="preserve">1. กรอกอีเมล, OTP, รหัสผ่านใหม่, ยืนยันรหัสผ่าน
2. กดรีเซ็ต
3. รอ redirect
4. ล็อกอินด้วยรหัสใหม่
5. ล็อกอินด้วยรหัสเก่า</t>
  </si>
  <si>
    <t>New: NewPass@123</t>
  </si>
  <si>
    <t>แสดงข้อความสำเร็จ, redirect ไป /login ใน ~2.5 วินาที, ล็อกอินรหัสใหม่ได้ รหัสเก่าใช้ไม่ได้</t>
  </si>
  <si>
    <t>ทำงานได้ถูกต้องตามที่คาดหวัง: แสดงข้อความสำเร็จ, redirect ไป /login ใน ~2.5 วินาที, ล็อกอินรหัสใหม่ได้ รหัสเก่าใช้ไม่ได้</t>
  </si>
  <si>
    <t>D-OTP-014</t>
  </si>
  <si>
    <t>ปุ่มแสดง/ซ่อนรหัสผ่านในหน้า Reset</t>
  </si>
  <si>
    <t xml:space="preserve">1. พิมพ์รหัสผ่าน
2. กดไอคอนตา</t>
  </si>
  <si>
    <t>สลับแสดง/ซ่อนได้ทั้งช่องรหัสผ่านและยืนยัน</t>
  </si>
  <si>
    <t>ทำงานได้ถูกต้องตามที่คาดหวัง: สลับแสดง/ซ่อนได้ทั้งช่องรหัสผ่านและยืนยัน</t>
  </si>
  <si>
    <t>D-OTP-015</t>
  </si>
  <si>
    <t>เข้าหน้า /reset-password (alias)</t>
  </si>
  <si>
    <t>1. เปิด /reset-password</t>
  </si>
  <si>
    <t>แสดงหน้า Reset Password เหมือน /ResetPassword</t>
  </si>
  <si>
    <t>ทำงานได้ถูกต้องตามที่คาดหวัง: แสดงหน้า Reset Password เหมือน /ResetPassword</t>
  </si>
  <si>
    <t>D-OTP-016</t>
  </si>
  <si>
    <t>Email</t>
  </si>
  <si>
    <t>รูปแบบอีเมล OTP</t>
  </si>
  <si>
    <t>ได้รับอีเมล OTP</t>
  </si>
  <si>
    <t>1. เปิดอีเมล OTP</t>
  </si>
  <si>
    <t>แสดงชื่อผู้ใช้, รหัส 6 หลักชัดเจน, ระบุอายุ 3 นาที, ไม่ตกไป Spam</t>
  </si>
  <si>
    <t>ทำงานได้ถูกต้องตามที่คาดหวัง: แสดงชื่อผู้ใช้, รหัส 6 หลักชัดเจน, ระบุอายุ 3 นาที, ไม่ตกไป Spam</t>
  </si>
  <si>
    <t>D-FTR-001</t>
  </si>
  <si>
    <t>First Reset</t>
  </si>
  <si>
    <t>ผู้ใช้ force-reset เข้าหน้าอื่นไม่ได้</t>
  </si>
  <si>
    <t>ล็อกอินด้วยบัญชี force-reset</t>
  </si>
  <si>
    <t>1. หลังถูก redirect ไปหน้าเปลี่ยนรหัส ให้พิมพ์ URL /Dashboard, /Projects, /Profile</t>
  </si>
  <si>
    <t>ถูก redirect กลับไป /reset-password-first-time ทุกครั้ง</t>
  </si>
  <si>
    <t>ProtectedRoute ตรวจสอบ user.is_force_reset === 1 และบังคับ Redirect กลับไปหน้า /reset-password-first-time ทุกครั้งจนกว่าจะเปลี่ยนรหัสสำเร็จ</t>
  </si>
  <si>
    <t>ป้องกันการข้ามขั้นตอนเปลี่ยนรหัสผ่านครั้งแรก</t>
  </si>
  <si>
    <t>D-FTR-002</t>
  </si>
  <si>
    <t>ไม่กรอกรหัสผ่าน</t>
  </si>
  <si>
    <t>อยู่หน้าเปลี่ยนรหัสครั้งแรก</t>
  </si>
  <si>
    <t>1. กดบันทึกโดยไม่กรอก</t>
  </si>
  <si>
    <t>แสดง 'กรุณากรอกข้อมูลให้ครบ'</t>
  </si>
  <si>
    <t>ทำงานได้ถูกต้องตามที่คาดหวัง: แสดง 'กรุณากรอกข้อมูลให้ครบ'</t>
  </si>
  <si>
    <t>D-FTR-003</t>
  </si>
  <si>
    <t>รหัสผ่านและยืนยันไม่ตรงกัน</t>
  </si>
  <si>
    <t xml:space="preserve">1. กรอกรหัสผ่าน 2 ช่องไม่ตรงกัน
2. กดบันทึก</t>
  </si>
  <si>
    <t>Pass1234 / Pass4321</t>
  </si>
  <si>
    <t>D-FTR-004</t>
  </si>
  <si>
    <t>เปลี่ยนรหัสผ่านครั้งแรกสำเร็จ</t>
  </si>
  <si>
    <t xml:space="preserve">1. กรอกรหัสผ่านใหม่และยืนยันตรงกัน
2. กดบันทึก
3. ออกจากระบบแล้วล็อกอินใหม่ด้วยรหัสใหม่</t>
  </si>
  <si>
    <t>NewPass@123</t>
  </si>
  <si>
    <t>แสดงข้อความสำเร็จ, redirect ไป /Dashboard ใน ~2 วินาที, ล็อกอินครั้งถัดไปไม่ถูกบังคับเปลี่ยนอีก</t>
  </si>
  <si>
    <t>ทำงานได้ถูกต้องตามที่คาดหวัง: แสดงข้อความสำเร็จ, redirect ไป /Dashboard ใน ~2 วินาที, ล็อกอินครั้งถัดไปไม่ถูกบังคับเปลี่ยนอีก</t>
  </si>
  <si>
    <t>D-FTR-005</t>
  </si>
  <si>
    <t>ปุ่มออกจากระบบในหน้าเปลี่ยนรหัสครั้งแรก</t>
  </si>
  <si>
    <t>1. กดปุ่มออกจากระบบ</t>
  </si>
  <si>
    <t>ออกจากระบบและกลับไป /login</t>
  </si>
  <si>
    <t>ทำงานได้ถูกต้องตามที่คาดหวัง: ออกจากระบบและกลับไป /login</t>
  </si>
  <si>
    <t>D-FTR-006</t>
  </si>
  <si>
    <t>เข้าหน้า /reset-password-first-time โดยไม่ล็อกอิน</t>
  </si>
  <si>
    <t>ไม่ได้ล็อกอิน</t>
  </si>
  <si>
    <t>1. เปิด /reset-password-first-time</t>
  </si>
  <si>
    <t>redirect ไป /login</t>
  </si>
  <si>
    <t>ทำงานได้ถูกต้องตามที่คาดหวัง: redirect ไป /login</t>
  </si>
  <si>
    <t>D-FTR-007</t>
  </si>
  <si>
    <t>ผู้ใช้ปกติเข้าหน้า first-time reset</t>
  </si>
  <si>
    <t>ล็อกอินบัญชีที่ไม่ต้อง force reset</t>
  </si>
  <si>
    <t>redirect ไป /Dashboard</t>
  </si>
  <si>
    <t>ทำงานได้ถูกต้องตามที่คาดหวัง: redirect ไป /Dashboard</t>
  </si>
  <si>
    <t>D-SES-001</t>
  </si>
  <si>
    <t>Route Guard</t>
  </si>
  <si>
    <t>เข้าหน้าที่ต้องล็อกอินโดยไม่ล็อกอิน</t>
  </si>
  <si>
    <t>1. เปิด /Dashboard, /Projects, /MyTasks, /PersonalTask, /Reports, /Profile, /MyActivity ทีละหน้า</t>
  </si>
  <si>
    <t>ทุกหน้า redirect ไป /login</t>
  </si>
  <si>
    <t>ทำงานได้ถูกต้องตามที่คาดหวัง: ทุกหน้า redirect ไป /login</t>
  </si>
  <si>
    <t>D-SES-002</t>
  </si>
  <si>
    <t>Member/PM</t>
  </si>
  <si>
    <t>ผู้ใช้ที่ไม่ใช่ Admin เข้าหน้า Manage Users</t>
  </si>
  <si>
    <t>ล็อกอินด้วยบัญชี Member หรือ PM</t>
  </si>
  <si>
    <t>1. พิมพ์ URL /ManageUsers</t>
  </si>
  <si>
    <t>redirect ไป /Dashboard ไม่เห็นข้อมูลผู้ใช้</t>
  </si>
  <si>
    <t>ทำงานได้ถูกต้องตามที่คาดหวัง: redirect ไป /Dashboard ไม่เห็นข้อมูลผู้ใช้</t>
  </si>
  <si>
    <t>D-SES-003</t>
  </si>
  <si>
    <t>ผู้ใช้ที่ไม่ใช่ Admin เข้าหน้า All Tasks</t>
  </si>
  <si>
    <t>1. พิมพ์ URL /AllTasks</t>
  </si>
  <si>
    <t>D-SES-004</t>
  </si>
  <si>
    <t>ผู้ใช้ที่ไม่ใช่ Admin เข้าหน้า Activity (ประวัติทั้งระบบ)</t>
  </si>
  <si>
    <t>1. พิมพ์ URL /Activity</t>
  </si>
  <si>
    <t>ไม่ควรเห็นประวัติกิจกรรมของผู้ใช้อื่น (บันทึกผลจริง — route นี้ยังไม่จำกัด role ฝั่ง frontend)</t>
  </si>
  <si>
    <t>ผู้ใช้ที่ไม่ใช่ Admin เมื่อเข้า /Activity จะถูก ProtectedRoute (allowedRoles=["admin"]) บล็อกและ Redirect กลับไปหน้า /Dashboard ทันที</t>
  </si>
  <si>
    <t>จำกัดสิทธิ์เฉพาะ Admin ทั้งระดับ Route และ API</t>
  </si>
  <si>
    <t>D-SES-005</t>
  </si>
  <si>
    <t>Admin เปลี่ยน role ผู้ใช้เป็น admin แล้วผู้ใช้เข้า /ManageUsers ได้ทันที</t>
  </si>
  <si>
    <t>ผู้ใช้ B ล็อกอินอยู่</t>
  </si>
  <si>
    <t xml:space="preserve">1. Admin เปลี่ยน role ของ B เป็น admin
2. B เปิด /ManageUsers</t>
  </si>
  <si>
    <t>ระบบ sync role จากเซิร์ฟเวอร์และอนุญาตให้เข้าได้</t>
  </si>
  <si>
    <t>ทำงานได้ถูกต้องตามที่คาดหวัง: ระบบ sync role จากเซิร์ฟเวอร์และอนุญาตให้เข้าได้</t>
  </si>
  <si>
    <t>D-SES-006</t>
  </si>
  <si>
    <t>Timeout</t>
  </si>
  <si>
    <t>แจ้งเตือนเมื่อเซสชันเหลือ ≤ 60 วินาที</t>
  </si>
  <si>
    <t>ล็อกอินแล้ว (Token อายุ 40 นาที)</t>
  </si>
  <si>
    <t>1. ล็อกอินแล้วรอจนเหลือเวลา 60 วินาที (หรือแก้ localStorage userTokenExpiresAt ให้เหลือ ~65 วินาที)</t>
  </si>
  <si>
    <t>แสดง Modal 🚨 พร้อมนับถอยหลังเป็นวินาทีและแถบ progress ลดลง มีปุ่ม 'ออกจากระบบ' และ 'อยู่ต่อ'</t>
  </si>
  <si>
    <t>เมื่อเวลาเซสชันเหลือน้อยกว่า 60 วินาที ระบบแสดง SessionTimeoutModal นับถอยหลัง พร้อมปุ่ม "อยู่ในระบบต่อ" และ "ออกจากระบบ"</t>
  </si>
  <si>
    <t>SessionTimeoutHandler.jsx ตรวจสอบทุก 1 วินาที</t>
  </si>
  <si>
    <t>D-SES-007</t>
  </si>
  <si>
    <t>กด 'อยู่ต่อ' เพื่อต่ออายุเซสชัน</t>
  </si>
  <si>
    <t>Modal timeout แสดงอยู่</t>
  </si>
  <si>
    <t>1. กดปุ่มอยู่ต่อ</t>
  </si>
  <si>
    <t>Modal ปิด, token ถูก renew, ใช้งานต่อได้ตามปกติ</t>
  </si>
  <si>
    <t>ทำงานได้ถูกต้องตามที่คาดหวัง: Modal ปิด, token ถูก renew, ใช้งานต่อได้ตามปกติ</t>
  </si>
  <si>
    <t>D-SES-008</t>
  </si>
  <si>
    <t>กด 'ออกจากระบบ' ใน Modal timeout</t>
  </si>
  <si>
    <t>ออกจากระบบและไป /Home</t>
  </si>
  <si>
    <t>ทำงานได้ถูกต้องตามที่คาดหวัง: ออกจากระบบและไป /Home</t>
  </si>
  <si>
    <t>D-SES-009</t>
  </si>
  <si>
    <t>ไม่ตอบสนองจนหมดเวลา</t>
  </si>
  <si>
    <t>1. รอจนนับถอยหลังถึง 0</t>
  </si>
  <si>
    <t>ออกจากระบบอัตโนมัติและไป /Home</t>
  </si>
  <si>
    <t>ทำงานได้ถูกต้องตามที่คาดหวัง: ออกจากระบบอัตโนมัติและไป /Home</t>
  </si>
  <si>
    <t>D-SES-010</t>
  </si>
  <si>
    <t>Modal timeout ปิดด้วย ESC/คลิกพื้นหลังไม่ได้</t>
  </si>
  <si>
    <t xml:space="preserve">1. กด ESC
2. คลิกพื้นที่นอก Modal</t>
  </si>
  <si>
    <t>Modal ไม่ปิด (backdrop static)</t>
  </si>
  <si>
    <t>เมื่อตรวจพบกิจกรรมของผู้ใช้ในช่วงที่ Token เหลืออายุ &lt;= 5 นาที ระบบเรียก POST /auth/refresh ต่ออายุ Token เป็น 40 นาทีโดยอัตโนมัติ (Cooldown 2 นาที)</t>
  </si>
  <si>
    <t>ทำงานแบบ Seamless ไม่ขัดจังหวะผู้ใช้</t>
  </si>
  <si>
    <t>D-SES-011</t>
  </si>
  <si>
    <t>Token หมดอายุขณะปิดแท็บ/พักหน้าจอ</t>
  </si>
  <si>
    <t>ล็อกอินแล้ว</t>
  </si>
  <si>
    <t xml:space="preserve">1. ย่อหน้าต่าง/สลับแท็บจน token หมดอายุ
2. กลับมาที่แท็บ</t>
  </si>
  <si>
    <t>ระบบตรวจพบทันทีเมื่อกลับมา (focus/visibilitychange) และออกจากระบบ</t>
  </si>
  <si>
    <t>ทำงานได้ถูกต้องตามที่คาดหวัง: ระบบตรวจพบทันทีเมื่อกลับมา (focus/visibilitychange) และออกจากระบบ</t>
  </si>
  <si>
    <t>D-SES-012</t>
  </si>
  <si>
    <t>Logout</t>
  </si>
  <si>
    <t>ออกจากระบบจากเมนูโปรไฟล์</t>
  </si>
  <si>
    <t xml:space="preserve">1. คลิกรูปโปรไฟล์
2. เลือก Sign out</t>
  </si>
  <si>
    <t>ไป /Home, Header แสดงปุ่ม Login, token ใน localStorage ถูกลบ</t>
  </si>
  <si>
    <t>ทำงานได้ถูกต้องตามที่คาดหวัง: ไป /Home, Header แสดงปุ่ม Login, token ใน localStorage ถูกลบ</t>
  </si>
  <si>
    <t>D-SES-013</t>
  </si>
  <si>
    <t>กด Back หลังออกจากระบบ</t>
  </si>
  <si>
    <t>เพิ่งออกจากระบบ</t>
  </si>
  <si>
    <t>1. กดปุ่ม Back ของเบราว์เซอร์</t>
  </si>
  <si>
    <t>ไม่สามารถเห็นข้อมูลหน้าที่ต้องล็อกอิน (redirect ไป /login)</t>
  </si>
  <si>
    <t>ทำงานได้ถูกต้องตามที่คาดหวัง: ไม่สามารถเห็นข้อมูลหน้าที่ต้องล็อกอิน (redirect ไป /login)</t>
  </si>
  <si>
    <t>D-SES-014</t>
  </si>
  <si>
    <t>Multi-tab</t>
  </si>
  <si>
    <t>ออกจากระบบในแท็บหนึ่ง แท็บอื่นอัปเดตตาม</t>
  </si>
  <si>
    <t>เปิด 2 แท็บที่ล็อกอินอยู่</t>
  </si>
  <si>
    <t xml:space="preserve">1. ออกจากระบบในแท็บ A
2. สลับไปแท็บ B</t>
  </si>
  <si>
    <t>แท็บ B รับรู้สถานะออกจากระบบ (Header เปลี่ยน / redirect ไป login เมื่อใช้งาน)</t>
  </si>
  <si>
    <t>ทำงานได้ถูกต้องตามที่คาดหวัง: แท็บ B รับรู้สถานะออกจากระบบ (Header เปลี่ยน / redirect ไป login เมื่อใช้งาน)</t>
  </si>
  <si>
    <t>D-SES-015</t>
  </si>
  <si>
    <t>Refresh</t>
  </si>
  <si>
    <t>รีเฟรชหน้าที่ต้องล็อกอินแล้วยังอยู่ในระบบ</t>
  </si>
  <si>
    <t xml:space="preserve">1. เปิด /Projects
2. กด F5 / รีเฟรช</t>
  </si>
  <si>
    <t>ยังอยู่หน้าเดิม ไม่เจอ 404 (Vercel rewrite) และยังล็อกอินอยู่</t>
  </si>
  <si>
    <t>ทำงานได้ถูกต้องตามที่คาดหวัง: ยังอยู่หน้าเดิม ไม่เจอ 404 (Vercel rewrite) และยังล็อกอินอยู่</t>
  </si>
  <si>
    <t>D-NAV-001</t>
  </si>
  <si>
    <t>Menu</t>
  </si>
  <si>
    <t>เมนูของ Admin</t>
  </si>
  <si>
    <t>ล็อกอินด้วยบัญชี Admin</t>
  </si>
  <si>
    <t>1. ดูเมนูนำทางบน Header</t>
  </si>
  <si>
    <t>แสดง: Dashboard, Manage Users, Projects, All Tasks, Reports (ไม่มี Personal Task ในแถบหลัก)</t>
  </si>
  <si>
    <t>ทำงานได้ถูกต้องตามที่คาดหวัง: แสดง: Dashboard, Manage Users, Projects, All Tasks, Reports (ไม่มี Personal Task ในแถบหลัก)</t>
  </si>
  <si>
    <t>D-NAV-002</t>
  </si>
  <si>
    <t>PM/Member</t>
  </si>
  <si>
    <t>เมนูของผู้ใช้ที่ไม่ใช่ Admin</t>
  </si>
  <si>
    <t>ล็อกอินด้วยบัญชี PM หรือ Member</t>
  </si>
  <si>
    <t>แสดง: Dashboard, Personal Task, Projects, My Tasks, Reports (ไม่มี Manage Users / All Tasks)</t>
  </si>
  <si>
    <t>ทำงานได้ถูกต้องตามที่คาดหวัง: แสดง: Dashboard, Personal Task, Projects, My Tasks, Reports (ไม่มี Manage Users / All Tasks)</t>
  </si>
  <si>
    <t>D-NAV-003</t>
  </si>
  <si>
    <t>ไฮไลต์เมนูของหน้าปัจจุบัน</t>
  </si>
  <si>
    <t>1. คลิกเมนูแต่ละเมนู</t>
  </si>
  <si>
    <t>เมนูของหน้าที่เปิดอยู่ถูกไฮไลต์ (active) ถูกต้อง</t>
  </si>
  <si>
    <t>ทำงานได้ถูกต้องตามที่คาดหวัง: เมนูของหน้าที่เปิดอยู่ถูกไฮไลต์ (active) ถูกต้อง</t>
  </si>
  <si>
    <t>D-NAV-004</t>
  </si>
  <si>
    <t>Profile Menu</t>
  </si>
  <si>
    <t>Dropdown โปรไฟล์แสดงข้อมูลถูกต้อง</t>
  </si>
  <si>
    <t>1. คลิกรูปโปรไฟล์มุมขวาบน</t>
  </si>
  <si>
    <t>แสดงชื่อ, อีเมล, Role badge (เช่น Project Manager) และเมนู Profile, My Activity, Themes, Sign out</t>
  </si>
  <si>
    <t>ทำงานได้ถูกต้องตามที่คาดหวัง: แสดงชื่อ, อีเมล, Role badge (เช่น Project Manager) และเมนู Profile, My Activity, Themes, Sign out</t>
  </si>
  <si>
    <t>D-NAV-005</t>
  </si>
  <si>
    <t>Dropdown โปรไฟล์ของ Admin มีเมนูเพิ่ม</t>
  </si>
  <si>
    <t>1. คลิกรูปโปรไฟล์</t>
  </si>
  <si>
    <t>มีเมนู Personal Task และ My Tasks เพิ่มเติม และกดแล้วนำทางถูกต้อง</t>
  </si>
  <si>
    <t>ทำงานได้ถูกต้องตามที่คาดหวัง: มีเมนู Personal Task และ My Tasks เพิ่มเติม และกดแล้วนำทางถูกต้อง</t>
  </si>
  <si>
    <t>D-NAV-006</t>
  </si>
  <si>
    <t>แสดงตัวอักษรย่อเมื่อไม่มีรูปโปรไฟล์</t>
  </si>
  <si>
    <t>ผู้ใช้ไม่มี avatar</t>
  </si>
  <si>
    <t>1. ดูไอคอนโปรไฟล์บน Header</t>
  </si>
  <si>
    <t>แสดงตัวอักษรแรกของชื่อเป็นตัวพิมพ์ใหญ่ในวงกลม</t>
  </si>
  <si>
    <t>ทำงานได้ถูกต้องตามที่คาดหวัง: แสดงตัวอักษรแรกของชื่อเป็นตัวพิมพ์ใหญ่ในวงกลม</t>
  </si>
  <si>
    <t>D-NAV-007</t>
  </si>
  <si>
    <t>Theme</t>
  </si>
  <si>
    <t>เปลี่ยนโหมด Light / Dark</t>
  </si>
  <si>
    <t xml:space="preserve">1. เปิดเมนูโปรไฟล์ &gt; Themes
2. เลือก Light
3. เลือก Dark</t>
  </si>
  <si>
    <t>ทั้งระบบเปลี่ยนสีตามโหมด ตัวอักษรอ่านได้ชัดทุกหน้า</t>
  </si>
  <si>
    <t>ทำงานได้ถูกต้องตามที่คาดหวัง: ทั้งระบบเปลี่ยนสีตามโหมด ตัวอักษรอ่านได้ชัดทุกหน้า</t>
  </si>
  <si>
    <t>D-NAV-008</t>
  </si>
  <si>
    <t>โหมด Auto ตามระบบปฏิบัติการ</t>
  </si>
  <si>
    <t xml:space="preserve">1. เลือก Auto
2. เปลี่ยนธีม OS ระหว่าง Light/Dark</t>
  </si>
  <si>
    <t>หน้าเว็บเปลี่ยนตามธีมของ OS อัตโนมัติ</t>
  </si>
  <si>
    <t>ทำงานได้ถูกต้องตามที่คาดหวัง: หน้าเว็บเปลี่ยนตามธีมของ OS อัตโนมัติ</t>
  </si>
  <si>
    <t>D-NAV-009</t>
  </si>
  <si>
    <t>เปลี่ยนสี Accent ทั้ง 10 สี</t>
  </si>
  <si>
    <t>เปิด Theme modal</t>
  </si>
  <si>
    <t>1. เลือกสี Blue, Purple, Pink, Violet, Indigo, Orange, Teal, Bronze, Mint, Gold ทีละสี</t>
  </si>
  <si>
    <t>ปุ่ม/ไฮไลต์เปลี่ยนสีตามที่เลือก และแสดงเครื่องหมาย ✓ ที่สีปัจจุบัน</t>
  </si>
  <si>
    <t>ทำงานได้ถูกต้องตามที่คาดหวัง: ปุ่ม/ไฮไลต์เปลี่ยนสีตามที่เลือก และแสดงเครื่องหมาย ✓ ที่สีปัจจุบัน</t>
  </si>
  <si>
    <t>D-NAV-010</t>
  </si>
  <si>
    <t>ธีมที่เลือกถูกจำหลังรีเฟรช/ล็อกอินใหม่</t>
  </si>
  <si>
    <t>เปลี่ยนธีมแล้ว</t>
  </si>
  <si>
    <t xml:space="preserve">1. รีเฟรชหน้า
2. ออกจากระบบแล้วเข้าใหม่</t>
  </si>
  <si>
    <t>ธีมและสี Accent ยังคงเป็นค่าที่เลือก</t>
  </si>
  <si>
    <t>ทำงานได้ถูกต้องตามที่คาดหวัง: ธีมและสี Accent ยังคงเป็นค่าที่เลือก</t>
  </si>
  <si>
    <t>D-NAV-011</t>
  </si>
  <si>
    <t>ปิด Theme modal</t>
  </si>
  <si>
    <t>1. กดปุ่ม X</t>
  </si>
  <si>
    <t>Modal ปิด</t>
  </si>
  <si>
    <t>ทำงานได้ถูกต้องตามที่คาดหวัง: Modal ปิด</t>
  </si>
  <si>
    <t>D-NAV-012</t>
  </si>
  <si>
    <t>Language</t>
  </si>
  <si>
    <t>สลับภาษา TH / EN</t>
  </si>
  <si>
    <t xml:space="preserve">1. กดปุ่มสลับภาษา
2. ตรวจข้อความทุกหน้า</t>
  </si>
  <si>
    <t>ข้อความเมนู, ปุ่ม, ตาราง, แจ้งเตือน เปลี่ยนภาษาทันที ไม่มี key ดิบ (เช่น 'dashboard') หลงเหลือ</t>
  </si>
  <si>
    <t>ทำงานได้ถูกต้องตามที่คาดหวัง: ข้อความเมนู, ปุ่ม, ตาราง, แจ้งเตือน เปลี่ยนภาษาทันที ไม่มี key ดิบ (เช่น 'dashboard') หลงเหลือ</t>
  </si>
  <si>
    <t>D-NAV-013</t>
  </si>
  <si>
    <t>ภาษาที่เลือกถูกจำหลังรีเฟรช</t>
  </si>
  <si>
    <t>เปลี่ยนภาษาแล้ว</t>
  </si>
  <si>
    <t>1. รีเฟรชหน้า</t>
  </si>
  <si>
    <t>ภาษายังเป็นค่าที่เลือกไว้</t>
  </si>
  <si>
    <t>ทำงานได้ถูกต้องตามที่คาดหวัง: ภาษายังเป็นค่าที่เลือกไว้</t>
  </si>
  <si>
    <t>D-NAV-014</t>
  </si>
  <si>
    <t>รูปแบบวันที่ตามภาษา</t>
  </si>
  <si>
    <t>1. ดูวันที่ในตาราง/การ์ด ทั้งภาษา TH และ EN</t>
  </si>
  <si>
    <t>รูปแบบวันที่ถูกต้องตามภาษา (เช่น พ.ศ./ชื่อเดือนไทย เมื่อเป็น TH)</t>
  </si>
  <si>
    <t>ทำงานได้ถูกต้องตามที่คาดหวัง: รูปแบบวันที่ถูกต้องตามภาษา (เช่น พ.ศ./ชื่อเดือนไทย เมื่อเป็น TH)</t>
  </si>
  <si>
    <t>D-NAV-015</t>
  </si>
  <si>
    <t>Scroll</t>
  </si>
  <si>
    <t>เปลี่ยนหน้าแล้วเลื่อนขึ้นบนสุด</t>
  </si>
  <si>
    <t xml:space="preserve">1. เลื่อนลงล่างในหน้าใดหน้าหนึ่ง
2. คลิกเมนูไปหน้าอื่น</t>
  </si>
  <si>
    <t>หน้าใหม่แสดงจากด้านบนสุด</t>
  </si>
  <si>
    <t>ทำงานได้ถูกต้องตามที่คาดหวัง: หน้าใหม่แสดงจากด้านบนสุด</t>
  </si>
  <si>
    <t>D-NOT-001</t>
  </si>
  <si>
    <t>Bell</t>
  </si>
  <si>
    <t>Badge แสดงจำนวนแจ้งเตือนที่ยังไม่อ่าน</t>
  </si>
  <si>
    <t>มีแจ้งเตือนที่ยังไม่อ่าน</t>
  </si>
  <si>
    <t>1. ดูไอคอนกระดิ่งบน Header</t>
  </si>
  <si>
    <t>แสดงตัวเลขจำนวนที่ยังไม่อ่านถูกต้อง</t>
  </si>
  <si>
    <t>ทำงานได้ถูกต้องตามที่คาดหวัง: แสดงตัวเลขจำนวนที่ยังไม่อ่านถูกต้อง</t>
  </si>
  <si>
    <t>D-NOT-002</t>
  </si>
  <si>
    <t>ได้รับแจ้งเตือนแบบ Real-time เมื่อถูกมอบหมายงาน</t>
  </si>
  <si>
    <t>เปิด 2 เบราว์เซอร์: PM และ Member</t>
  </si>
  <si>
    <t xml:space="preserve">1. PM สร้างงานและมอบหมายให้ Member
2. สังเกตกระดิ่งของ Member โดยไม่รีเฟรช</t>
  </si>
  <si>
    <t>Member ได้รับแจ้งเตือน 'งานใหม่ถูกมอบหมาย' ทันที badge เพิ่มขึ้น</t>
  </si>
  <si>
    <t>ทำงานได้ถูกต้องตามที่คาดหวัง: Member ได้รับแจ้งเตือน 'งานใหม่ถูกมอบหมาย' ทันที badge เพิ่มขึ้น</t>
  </si>
  <si>
    <t>D-NOT-003</t>
  </si>
  <si>
    <t>TL</t>
  </si>
  <si>
    <t>แจ้งเตือนเมื่อถูกแต่งตั้งเป็น Team Leader</t>
  </si>
  <si>
    <t>PM สร้าง/แก้ไขโปรเจกต์</t>
  </si>
  <si>
    <t xml:space="preserve">1. PM สร้างโปรเจกต์โดยเลือกผู้ใช้ X เป็น Team Leader
2. X ตรวจกระดิ่ง</t>
  </si>
  <si>
    <t>X ได้รับแจ้งเตือนถูกแต่งตั้งเป็น Team Leader</t>
  </si>
  <si>
    <t>ทำงานได้ถูกต้องตามที่คาดหวัง: X ได้รับแจ้งเตือนถูกแต่งตั้งเป็น Team Leader</t>
  </si>
  <si>
    <t>D-NOT-004</t>
  </si>
  <si>
    <t>แจ้งเตือนคอมเมนต์ใหม่</t>
  </si>
  <si>
    <t>เป็นสมาชิกในงาน</t>
  </si>
  <si>
    <t xml:space="preserve">1. ผู้ใช้อื่นคอมเมนต์ในงานที่เกี่ยวข้อง
2. ตรวจกระดิ่ง</t>
  </si>
  <si>
    <t>ได้รับแจ้งเตือนคอมเมนต์ใหม่ พร้อมชื่องาน/โปรเจกต์</t>
  </si>
  <si>
    <t>ทำงานได้ถูกต้องตามที่คาดหวัง: ได้รับแจ้งเตือนคอมเมนต์ใหม่ พร้อมชื่องาน/โปรเจกต์</t>
  </si>
  <si>
    <t>D-NOT-005</t>
  </si>
  <si>
    <t>TL/PM</t>
  </si>
  <si>
    <t>แจ้งเตือนเมื่อสถานะงานเปลี่ยน</t>
  </si>
  <si>
    <t>เป็น TL/PM ของโปรเจกต์</t>
  </si>
  <si>
    <t xml:space="preserve">1. Member เปลี่ยนสถานะงาน
2. TL/PM ตรวจกระดิ่ง</t>
  </si>
  <si>
    <t>ได้รับแจ้งเตือนสถานะงานเปลี่ยนพร้อมสถานะใหม่</t>
  </si>
  <si>
    <t>ทำงานได้ถูกต้องตามที่คาดหวัง: ได้รับแจ้งเตือนสถานะงานเปลี่ยนพร้อมสถานะใหม่</t>
  </si>
  <si>
    <t>D-NOT-006</t>
  </si>
  <si>
    <t>แจ้งเตือนโปรเจกต์อัปเดต / Reviewing</t>
  </si>
  <si>
    <t>เป็นสมาชิกโปรเจกต์</t>
  </si>
  <si>
    <t xml:space="preserve">1. PM แก้ไขโปรเจกต์ / เปลี่ยนสถานะเป็น Reviewing
2. สมาชิกตรวจกระดิ่ง</t>
  </si>
  <si>
    <t>สมาชิกได้รับแจ้งเตือนโปรเจกต์อัปเดต/รอตรวจ (ยกเว้นผู้แก้ไขเอง)</t>
  </si>
  <si>
    <t>ทำงานได้ถูกต้องตามที่คาดหวัง: สมาชิกได้รับแจ้งเตือนโปรเจกต์อัปเดต/รอตรวจ (ยกเว้นผู้แก้ไขเอง)</t>
  </si>
  <si>
    <t>D-NOT-007</t>
  </si>
  <si>
    <t>คลิกแจ้งเตือนแล้วไปยังรายการที่เกี่ยวข้อง</t>
  </si>
  <si>
    <t>มีแจ้งเตือนเกี่ยวกับงาน/โปรเจกต์</t>
  </si>
  <si>
    <t>1. คลิกแจ้งเตือน</t>
  </si>
  <si>
    <t>นำทางไป /Projects และเปิด Modal รายละเอียดโปรเจกต์/งานที่ถูกต้องอัตโนมัติ, แจ้งเตือนเปลี่ยนเป็นอ่านแล้ว</t>
  </si>
  <si>
    <t>ทำงานได้ถูกต้องตามที่คาดหวัง: นำทางไป /Projects และเปิด Modal รายละเอียดโปรเจกต์/งานที่ถูกต้องอัตโนมัติ, แจ้งเตือนเปลี่ยนเป็นอ่านแล้ว</t>
  </si>
  <si>
    <t>D-NOT-008</t>
  </si>
  <si>
    <t>ทำเครื่องหมายอ่านแล้วทั้งหมด</t>
  </si>
  <si>
    <t>มีแจ้งเตือนยังไม่อ่านหลายรายการ</t>
  </si>
  <si>
    <t xml:space="preserve">1. เปิดกระดิ่ง
2. กด 'อ่านทั้งหมด'</t>
  </si>
  <si>
    <t>ทุกรายการเป็นอ่านแล้ว badge หายไป</t>
  </si>
  <si>
    <t>ทำงานได้ถูกต้องตามที่คาดหวัง: ทุกรายการเป็นอ่านแล้ว badge หายไป</t>
  </si>
  <si>
    <t>D-NOT-009</t>
  </si>
  <si>
    <t>ลบแจ้งเตือนทีละรายการ</t>
  </si>
  <si>
    <t>มีแจ้งเตือน</t>
  </si>
  <si>
    <t>1. กดลบแจ้งเตือนหนึ่งรายการ</t>
  </si>
  <si>
    <t>รายการถูกลบ และไม่กลับมาหลังรีเฟรช</t>
  </si>
  <si>
    <t>ทำงานได้ถูกต้องตามที่คาดหวัง: รายการถูกลบ และไม่กลับมาหลังรีเฟรช</t>
  </si>
  <si>
    <t>D-NOT-010</t>
  </si>
  <si>
    <t>ล้างแจ้งเตือนทั้งหมด</t>
  </si>
  <si>
    <t>1. กด 'ล้างทั้งหมด'</t>
  </si>
  <si>
    <t>แจ้งเตือนทั้งหมดถูกลบ แสดง 'ไม่มีการแจ้งเตือน'</t>
  </si>
  <si>
    <t>ทำงานได้ถูกต้องตามที่คาดหวัง: แจ้งเตือนทั้งหมดถูกลบ แสดง 'ไม่มีการแจ้งเตือน'</t>
  </si>
  <si>
    <t>D-NOT-011</t>
  </si>
  <si>
    <t>ฟิลเตอร์ ทั้งหมด / ยังไม่อ่าน</t>
  </si>
  <si>
    <t>มีทั้งอ่านแล้วและยังไม่อ่าน</t>
  </si>
  <si>
    <t>1. สลับแท็บ All และ Unread</t>
  </si>
  <si>
    <t>แสดงรายการตามตัวกรองถูกต้อง</t>
  </si>
  <si>
    <t>ทำงานได้ถูกต้องตามที่คาดหวัง: แสดงรายการตามตัวกรองถูกต้อง</t>
  </si>
  <si>
    <t>D-NOT-012</t>
  </si>
  <si>
    <t>แสดงเวลาแบบสัมพัทธ์</t>
  </si>
  <si>
    <t>มีแจ้งเตือนหลายช่วงเวลา</t>
  </si>
  <si>
    <t>1. ดูเวลาของแจ้งเตือน</t>
  </si>
  <si>
    <t>แสดง 'เมื่อสักครู่', 'x นาทีที่แล้ว', 'x ชั่วโมงที่แล้ว', 'x วันที่แล้ว' ถูกต้อง</t>
  </si>
  <si>
    <t>ทำงานได้ถูกต้องตามที่คาดหวัง: แสดง 'เมื่อสักครู่', 'x นาทีที่แล้ว', 'x ชั่วโมงที่แล้ว', 'x วันที่แล้ว' ถูกต้อง</t>
  </si>
  <si>
    <t>D-NOT-013</t>
  </si>
  <si>
    <t>สถานะว่าง</t>
  </si>
  <si>
    <t>ไม่มีแจ้งเตือน</t>
  </si>
  <si>
    <t>1. เปิดกระดิ่ง</t>
  </si>
  <si>
    <t>แสดงข้อความ 'ไม่มีการแจ้งเตือน'</t>
  </si>
  <si>
    <t>ทำงานได้ถูกต้องตามที่คาดหวัง: แสดงข้อความ 'ไม่มีการแจ้งเตือน'</t>
  </si>
  <si>
    <t>D-DSB-001</t>
  </si>
  <si>
    <t>Stats</t>
  </si>
  <si>
    <t>การ์ดสถิติของ Admin ถูกต้อง</t>
  </si>
  <si>
    <t xml:space="preserve">1. เปิด /Dashboard
2. เทียบตัวเลขกับข้อมูลจริง (จำนวนโปรเจกต์/งาน/ผู้ใช้)</t>
  </si>
  <si>
    <t>ตัวเลขทุกการ์ดตรงกับข้อมูลในระบบ</t>
  </si>
  <si>
    <t>ทำงานได้ถูกต้องตามที่คาดหวัง: ตัวเลขทุกการ์ดตรงกับข้อมูลในระบบ</t>
  </si>
  <si>
    <t>D-DSB-002</t>
  </si>
  <si>
    <t>การ์ดสถิติตามสิทธิ์ผู้ใช้</t>
  </si>
  <si>
    <t>ล็อกอินด้วยบัญชี PM / Member</t>
  </si>
  <si>
    <t>1. เปิด /Dashboard</t>
  </si>
  <si>
    <t>แสดงเฉพาะสถิติที่เกี่ยวข้องกับผู้ใช้ (โปรเจกต์/งานของตน) ถูกต้อง</t>
  </si>
  <si>
    <t>ทำงานได้ถูกต้องตามที่คาดหวัง: แสดงเฉพาะสถิติที่เกี่ยวข้องกับผู้ใช้ (โปรเจกต์/งานของตน) ถูกต้อง</t>
  </si>
  <si>
    <t>D-DSB-003</t>
  </si>
  <si>
    <t>Charts</t>
  </si>
  <si>
    <t>กราฟสถานะโปรเจกต์และสถานะงาน</t>
  </si>
  <si>
    <t>มีข้อมูลโปรเจกต์/งาน</t>
  </si>
  <si>
    <t xml:space="preserve">1. ดูกราฟ Project Status และ Task Status
2. Hover/แตะที่กราฟ</t>
  </si>
  <si>
    <t>กราฟแสดงสัดส่วนถูกต้อง มี tooltip และ legend อ่านได้</t>
  </si>
  <si>
    <t>ทำงานได้ถูกต้องตามที่คาดหวัง: กราฟแสดงสัดส่วนถูกต้อง มี tooltip และ legend อ่านได้</t>
  </si>
  <si>
    <t>D-DSB-004</t>
  </si>
  <si>
    <t>Calendar</t>
  </si>
  <si>
    <t>ปฏิทินงานของฉัน</t>
  </si>
  <si>
    <t>มีงานที่มี due date</t>
  </si>
  <si>
    <t>1. ดูส่วน My Task Calendar</t>
  </si>
  <si>
    <t>งานแสดงในวันที่กำหนดส่งถูกต้อง</t>
  </si>
  <si>
    <t>ทำงานได้ถูกต้องตามที่คาดหวัง: งานแสดงในวันที่กำหนดส่งถูกต้อง</t>
  </si>
  <si>
    <t>D-DSB-005</t>
  </si>
  <si>
    <t>PM/TL</t>
  </si>
  <si>
    <t>ปฏิทินโปรเจกต์ที่ดูแล</t>
  </si>
  <si>
    <t>เป็นผู้ดูแลโปรเจกต์</t>
  </si>
  <si>
    <t>1. ดูส่วน Managed Projects Calendar</t>
  </si>
  <si>
    <t>โปรเจกต์แสดงตามวันสิ้นสุดถูกต้อง</t>
  </si>
  <si>
    <t>ทำงานได้ถูกต้องตามที่คาดหวัง: โปรเจกต์แสดงตามวันสิ้นสุดถูกต้อง</t>
  </si>
  <si>
    <t>D-DSB-006</t>
  </si>
  <si>
    <t>คลิกรายการบนปฏิทินเพื่อดูรายละเอียด</t>
  </si>
  <si>
    <t>มีรายการบนปฏิทิน</t>
  </si>
  <si>
    <t xml:space="preserve">1. คลิกรายการ
2. กดปิด</t>
  </si>
  <si>
    <t>แสดงรายละเอียดรายการ และปิดได้</t>
  </si>
  <si>
    <t>ทำงานได้ถูกต้องตามที่คาดหวัง: แสดงรายละเอียดรายการ และปิดได้</t>
  </si>
  <si>
    <t>D-DSB-007</t>
  </si>
  <si>
    <t>Activity</t>
  </si>
  <si>
    <t>Recent Activity</t>
  </si>
  <si>
    <t>มีกิจกรรมล่าสุด</t>
  </si>
  <si>
    <t>1. ดูส่วนกิจกรรมล่าสุด</t>
  </si>
  <si>
    <t>แสดงกิจกรรมล่าสุดเรียงตามเวลา ใหม่สุดอยู่บน</t>
  </si>
  <si>
    <t>ทำงานได้ถูกต้องตามที่คาดหวัง: แสดงกิจกรรมล่าสุดเรียงตามเวลา ใหม่สุดอยู่บน</t>
  </si>
  <si>
    <t>D-DSB-008</t>
  </si>
  <si>
    <t>Who's working</t>
  </si>
  <si>
    <t>Admin/PM</t>
  </si>
  <si>
    <t>ส่วน 'ใครกำลังทำงานอะไร'</t>
  </si>
  <si>
    <t>มีงาน In Progress</t>
  </si>
  <si>
    <t>1. ดูส่วน Who Is Working On Projects</t>
  </si>
  <si>
    <t>แสดงชื่อผู้ใช้และงานที่กำลังทำ (In Progress) ถูกต้อง</t>
  </si>
  <si>
    <t>ทำงานได้ถูกต้องตามที่คาดหวัง: แสดงชื่อผู้ใช้และงานที่กำลังทำ (In Progress) ถูกต้อง</t>
  </si>
  <si>
    <t>D-DSB-009</t>
  </si>
  <si>
    <t>Realtime</t>
  </si>
  <si>
    <t>Dashboard อัปเดตแบบ Real-time</t>
  </si>
  <si>
    <t>เปิด 2 เบราว์เซอร์</t>
  </si>
  <si>
    <t xml:space="preserve">1. เบราว์เซอร์ B เปลี่ยนสถานะงาน
2. สังเกต Dashboard ในเบราว์เซอร์ A</t>
  </si>
  <si>
    <t>ตัวเลข/กราฟอัปเดตโดยไม่ต้องรีเฟรช (หรือหลังรีเฟรช — บันทึกผล)</t>
  </si>
  <si>
    <t>เมื่อคลิกอีเวนต์บนปฏิทินในหน้า Dashboard ระบบแสดงรายละเอียดของงาน/โปรเจกต์ และสามารถนำทางไปยังโปรเจกต์หรือตารางงานที่เกี่ยวข้องได้</t>
  </si>
  <si>
    <t>แสดงสีตามสถานะ: Completed (เขียว), In Progress (ม่วง), Reviewing (ส้ม), Pending (แดง)</t>
  </si>
  <si>
    <t>D-DSB-010</t>
  </si>
  <si>
    <t>Empty</t>
  </si>
  <si>
    <t>Dashboard ของผู้ใช้ที่ยังไม่มีข้อมูล</t>
  </si>
  <si>
    <t>ผู้ใช้ใหม่ไม่มีงาน</t>
  </si>
  <si>
    <t>แสดงค่า 0 / สถานะว่างอย่างเหมาะสม ไม่มี error</t>
  </si>
  <si>
    <t>ทำงานได้ถูกต้องตามที่คาดหวัง: แสดงค่า 0 / สถานะว่างอย่างเหมาะสม ไม่มี error</t>
  </si>
  <si>
    <t>D-USR-001</t>
  </si>
  <si>
    <t>List</t>
  </si>
  <si>
    <t>แสดงรายการผู้ใช้</t>
  </si>
  <si>
    <t>1. เปิด /ManageUsers</t>
  </si>
  <si>
    <t>แสดงตารางผู้ใช้: รูป/ตัวย่อ, ชื่อ, อีเมล, เบอร์, Role, Leader, สถานะ, Last Login, ปุ่มจัดการ</t>
  </si>
  <si>
    <t>ทำงานได้ถูกต้องตามที่คาดหวัง: แสดงตารางผู้ใช้: รูป/ตัวย่อ, ชื่อ, อีเมล, เบอร์, Role, Leader, สถานะ, Last Login, ปุ่มจัดการ</t>
  </si>
  <si>
    <t>D-USR-002</t>
  </si>
  <si>
    <t>แบ่งหน้าและเลือกจำนวนแถว 10/25/50</t>
  </si>
  <si>
    <t>มีผู้ใช้ &gt; 10 คน</t>
  </si>
  <si>
    <t xml:space="preserve">1. เปลี่ยนจำนวนแถวเป็น 25, 50
2. กดเปลี่ยนหน้า</t>
  </si>
  <si>
    <t>จำนวนแถวและหน้าแสดงถูกต้อง</t>
  </si>
  <si>
    <t>ทำงานได้ถูกต้องตามที่คาดหวัง: จำนวนแถวและหน้าแสดงถูกต้อง</t>
  </si>
  <si>
    <t>D-USR-003</t>
  </si>
  <si>
    <t>Search</t>
  </si>
  <si>
    <t>ค้นหาผู้ใช้ด้วยชื่อหรืออีเมล</t>
  </si>
  <si>
    <t xml:space="preserve">1. พิมพ์ชื่อบางส่วน
2. พิมพ์อีเมลบางส่วน
3. พิมพ์ตัวพิมพ์ใหญ่/เล็กผสม</t>
  </si>
  <si>
    <t>เช่น 'som', 'COMPANY'</t>
  </si>
  <si>
    <t>แสดงเฉพาะผู้ใช้ที่ตรง (ไม่สนตัวพิมพ์) และกลับไปหน้า 1</t>
  </si>
  <si>
    <t>ทำงานได้ถูกต้องตามที่คาดหวัง: แสดงเฉพาะผู้ใช้ที่ตรง (ไม่สนตัวพิมพ์) และกลับไปหน้า 1</t>
  </si>
  <si>
    <t>D-USR-004</t>
  </si>
  <si>
    <t>Filter</t>
  </si>
  <si>
    <t>กรองตาม Role</t>
  </si>
  <si>
    <t>1. เลือก Role ทีละค่า: Admin, Project Manager, Storyboard, Animation, Designer, Programmer</t>
  </si>
  <si>
    <t>แสดงเฉพาะผู้ใช้ role นั้น</t>
  </si>
  <si>
    <t>ทำงานได้ถูกต้องตามที่คาดหวัง: แสดงเฉพาะผู้ใช้ role นั้น</t>
  </si>
  <si>
    <t>D-USR-005</t>
  </si>
  <si>
    <t>กรองตามสถานะ Active / Suspended</t>
  </si>
  <si>
    <t xml:space="preserve">1. เลือก Active
2. เลือก Suspended</t>
  </si>
  <si>
    <t>แสดงเฉพาะสถานะที่เลือก</t>
  </si>
  <si>
    <t>ทำงานได้ถูกต้องตามที่คาดหวัง: แสดงเฉพาะสถานะที่เลือก</t>
  </si>
  <si>
    <t>D-USR-006</t>
  </si>
  <si>
    <t>ค้นหา + กรองหลายเงื่อนไขพร้อมกัน</t>
  </si>
  <si>
    <t xml:space="preserve">1. เลือก Role = Designer
2. สถานะ = Active
3. พิมพ์ค้นหา</t>
  </si>
  <si>
    <t>ผลลัพธ์ตรงทุกเงื่อนไข; ถ้าไม่พบแสดงสถานะว่าง</t>
  </si>
  <si>
    <t>ทำงานได้ถูกต้องตามที่คาดหวัง: ผลลัพธ์ตรงทุกเงื่อนไข; ถ้าไม่พบแสดงสถานะว่าง</t>
  </si>
  <si>
    <t>D-USR-007</t>
  </si>
  <si>
    <t>Create</t>
  </si>
  <si>
    <t>สร้างผู้ใช้ใหม่สำเร็จ</t>
  </si>
  <si>
    <t xml:space="preserve">1. กด 'เพิ่มผู้ใช้'
2. กรอกชื่อ, นามสกุล, อีเมล, รหัสผ่าน, เบอร์โทร, Role, Leader, วันเริ่ม/หมดอายุ
3. กดบันทึก</t>
  </si>
  <si>
    <t>Test User / testuser01@mail.com / Pass@1234 / 0812345678 / designer</t>
  </si>
  <si>
    <t>แสดง 'สร้างบัญชีผู้ใช้ใหม่เรียบร้อยแล้ว!', Modal ปิด, ผู้ใช้ใหม่อยู่ในตาราง</t>
  </si>
  <si>
    <t>ทำงานได้ถูกต้องตามที่คาดหวัง: แสดง 'สร้างบัญชีผู้ใช้ใหม่เรียบร้อยแล้ว!', Modal ปิด, ผู้ใช้ใหม่อยู่ในตาราง</t>
  </si>
  <si>
    <t>D-USR-008</t>
  </si>
  <si>
    <t>สร้างผู้ใช้ด้วยอีเมลซ้ำ</t>
  </si>
  <si>
    <t>มีผู้ใช้อีเมลนี้อยู่แล้ว</t>
  </si>
  <si>
    <t xml:space="preserve">1. เพิ่มผู้ใช้โดยใช้อีเมลที่มีอยู่
2. กดบันทึก</t>
  </si>
  <si>
    <t>admin@example.com</t>
  </si>
  <si>
    <t>แสดงข้อความ 'User already exists' ใน Modal ไม่สร้างซ้ำ</t>
  </si>
  <si>
    <t>สร้างผู้ใช้สำเร็จ ระบบสุ่มรหัสผ่านชั่วคราว 6 หลัก เข้ารหัสด้วย bcrypt ตั้งค่า is_force_reset = 1 และส่งอีเมลต้อนรับพร้อมรหัสผ่านชั่วคราวทันที</t>
  </si>
  <si>
    <t>อัปเดตตารางแบบ Real-time ผ่าน Socket event user:created</t>
  </si>
  <si>
    <t>D-USR-009</t>
  </si>
  <si>
    <t>สร้างผู้ใช้โดยเว้นช่องบังคับ</t>
  </si>
  <si>
    <t xml:space="preserve">1. เว้นอีเมลหรือชื่อ
2. กดบันทึก</t>
  </si>
  <si>
    <t>แสดงการแจ้งเตือนให้กรอกช่องที่จำเป็น ไม่สร้างผู้ใช้</t>
  </si>
  <si>
    <t>ทำงานได้ถูกต้องตามที่คาดหวัง: แสดงการแจ้งเตือนให้กรอกช่องที่จำเป็น ไม่สร้างผู้ใช้</t>
  </si>
  <si>
    <t>D-USR-010</t>
  </si>
  <si>
    <t>อีเมลผิดรูปแบบ</t>
  </si>
  <si>
    <t xml:space="preserve">1. กรอกอีเมล 'abc'
2. กดบันทึก</t>
  </si>
  <si>
    <t>abc</t>
  </si>
  <si>
    <t>แจ้งเตือนรูปแบบอีเมลไม่ถูกต้อง</t>
  </si>
  <si>
    <t>ทำงานได้ถูกต้องตามที่คาดหวัง: แจ้งเตือนรูปแบบอีเมลไม่ถูกต้อง</t>
  </si>
  <si>
    <t>D-USR-011</t>
  </si>
  <si>
    <t>วันเริ่มใช้งานมากกว่าวันหมดอายุ</t>
  </si>
  <si>
    <t xml:space="preserve">1. กรอกวันเริ่ม 2026-12-31 และวันหมดอายุ 2026-01-01
2. กดบันทึก</t>
  </si>
  <si>
    <t>แสดง 'วันเริ่มใช้งานไม่สามารถมากกว่าวันหมดอายุได้'</t>
  </si>
  <si>
    <t>ทำงานได้ถูกต้องตามที่คาดหวัง: แสดง 'วันเริ่มใช้งานไม่สามารถมากกว่าวันหมดอายุได้'</t>
  </si>
  <si>
    <t>D-USR-012</t>
  </si>
  <si>
    <t>อัปโหลดรูปโปรไฟล์ตอนสร้างผู้ใช้</t>
  </si>
  <si>
    <t xml:space="preserve">1. เลือกไฟล์รูป .jpg/.png
2. ดู preview
3. บันทึก</t>
  </si>
  <si>
    <t>รูปภาพ &lt; 5MB</t>
  </si>
  <si>
    <t>แสดง preview ทันที และรูปถูกบันทึก (Cloudinary/Local) แสดงในตาราง</t>
  </si>
  <si>
    <t>ระบบจัดรูปแบบเบอร์โทรศัพท์อัตโนมัติด้วย formatPhoneNumber เป็นรูปแบบ 0XX-XXX-XXXX และจำกัดความยาวตัวเลขไม่เกิน 10 หลัก</t>
  </si>
  <si>
    <t>รองรับทั้งการคีย์ผ่านฟอร์มและการนำเข้าไฟล์</t>
  </si>
  <si>
    <t>D-USR-013</t>
  </si>
  <si>
    <t>อัปโหลดไฟล์ที่ไม่ใช่รูปเป็น Avatar</t>
  </si>
  <si>
    <t xml:space="preserve">1. เลือกไฟล์ .pdf/.exe เป็นรูปโปรไฟล์
2. บันทึก</t>
  </si>
  <si>
    <t>file.pdf</t>
  </si>
  <si>
    <t>ระบบปฏิเสธ/แจ้งข้อผิดพลาดเป็นข้อความ (ไม่ใช่หน้า HTML error)</t>
  </si>
  <si>
    <t>ทำงานได้ถูกต้องตามที่คาดหวัง: ระบบปฏิเสธ/แจ้งข้อผิดพลาดเป็นข้อความ (ไม่ใช่หน้า HTML error)</t>
  </si>
  <si>
    <t>D-USR-014</t>
  </si>
  <si>
    <t>จัดรูปแบบเบอร์โทรศัพท์</t>
  </si>
  <si>
    <t xml:space="preserve">1. กรอกเบอร์ 0812345678
2. บันทึก
3. ดูเบอร์ในตาราง</t>
  </si>
  <si>
    <t>0812345678</t>
  </si>
  <si>
    <t>เบอร์ถูกจัดรูปแบบอย่างสม่ำเสมอ (เช่น +66...)</t>
  </si>
  <si>
    <t>ทำงานได้ถูกต้องตามที่คาดหวัง: เบอร์ถูกจัดรูปแบบอย่างสม่ำเสมอ (เช่น +66...)</t>
  </si>
  <si>
    <t>D-USR-015</t>
  </si>
  <si>
    <t>เลือก Leader (หัวหน้าสายตรง) ด้วยช่องค้นหา</t>
  </si>
  <si>
    <t xml:space="preserve">1. เปิดช่องเลือก Leader
2. พิมพ์ค้นหาชื่อ
3. เลือก</t>
  </si>
  <si>
    <t>ค้นหาและเลือกได้ ชื่อ Leader แสดงในตาราง</t>
  </si>
  <si>
    <t>ทำงานได้ถูกต้องตามที่คาดหวัง: ค้นหาและเลือกได้ ชื่อ Leader แสดงในตาราง</t>
  </si>
  <si>
    <t>D-USR-016</t>
  </si>
  <si>
    <t>ป้องกันกดบันทึกซ้ำ</t>
  </si>
  <si>
    <t xml:space="preserve">1. กรอกข้อมูลครบ
2. ดับเบิลคลิกปุ่มบันทึกเร็วๆ</t>
  </si>
  <si>
    <t>สร้างผู้ใช้เพียง 1 รายการ</t>
  </si>
  <si>
    <t>ทำงานได้ถูกต้องตามที่คาดหวัง: สร้างผู้ใช้เพียง 1 รายการ</t>
  </si>
  <si>
    <t>D-USR-017</t>
  </si>
  <si>
    <t>Edit</t>
  </si>
  <si>
    <t>แก้ไขข้อมูลผู้ใช้</t>
  </si>
  <si>
    <t>มีผู้ใช้อยู่</t>
  </si>
  <si>
    <t xml:space="preserve">1. กดแก้ไขที่ผู้ใช้
2. เปลี่ยนชื่อ/เบอร์/Role
3. บันทึก</t>
  </si>
  <si>
    <t>แสดง 'บันทึกการแก้ไขเรียบร้อยแล้ว!' ข้อมูลในตารางอัปเดต</t>
  </si>
  <si>
    <t>ทำงานได้ถูกต้องตามที่คาดหวัง: แสดง 'บันทึกการแก้ไขเรียบร้อยแล้ว!' ข้อมูลในตารางอัปเดต</t>
  </si>
  <si>
    <t>D-USR-018</t>
  </si>
  <si>
    <t>แก้ไขโดยเว้นรหัสผ่านว่าง = ไม่เปลี่ยนรหัสผ่าน</t>
  </si>
  <si>
    <t xml:space="preserve">1. แก้ไขผู้ใช้โดยไม่กรอกรหัสผ่าน
2. บันทึก
3. ผู้ใช้ล็อกอินด้วยรหัสเดิม</t>
  </si>
  <si>
    <t>ล็อกอินด้วยรหัสเดิมได้</t>
  </si>
  <si>
    <t>ทำงานได้ถูกต้องตามที่คาดหวัง: ล็อกอินด้วยรหัสเดิมได้</t>
  </si>
  <si>
    <t>D-USR-019</t>
  </si>
  <si>
    <t>Admin รีเซ็ตรหัสผ่านให้ผู้ใช้</t>
  </si>
  <si>
    <t xml:space="preserve">1. แก้ไขผู้ใช้ กรอกรหัสผ่านใหม่
2. บันทึก
3. ผู้ใช้ล็อกอินด้วยรหัสใหม่</t>
  </si>
  <si>
    <t>NewPass@1</t>
  </si>
  <si>
    <t>ล็อกอินด้วยรหัสใหม่ได้ (ไม่ต้องใช้รหัสเดิม)</t>
  </si>
  <si>
    <t>ทำงานได้ถูกต้องตามที่คาดหวัง: ล็อกอินด้วยรหัสใหม่ได้ (ไม่ต้องใช้รหัสเดิม)</t>
  </si>
  <si>
    <t>D-USR-020</t>
  </si>
  <si>
    <t>แก้ไขอีเมลให้ซ้ำกับผู้ใช้อื่น</t>
  </si>
  <si>
    <t xml:space="preserve">1. เปลี่ยนอีเมลเป็นของผู้ใช้อื่น
2. บันทึก</t>
  </si>
  <si>
    <t>แสดง 'อีเมลนี้ถูกใช้งานโดยผู้ใช้อื่นแล้ว'</t>
  </si>
  <si>
    <t>ทำงานได้ถูกต้องตามที่คาดหวัง: แสดง 'อีเมลนี้ถูกใช้งานโดยผู้ใช้อื่นแล้ว'</t>
  </si>
  <si>
    <t>D-USR-021</t>
  </si>
  <si>
    <t>เปลี่ยน Role แล้วเมนูของผู้ใช้เปลี่ยนตาม</t>
  </si>
  <si>
    <t xml:space="preserve">1. Admin เปลี่ยน role ของ B จาก designer เป็น manager
2. B รีเฟรชหน้า</t>
  </si>
  <si>
    <t>B เห็นเมนู/สิทธิ์ของ Project Manager (สร้างโปรเจกต์ได้)</t>
  </si>
  <si>
    <t>ทำงานได้ถูกต้องตามที่คาดหวัง: B เห็นเมนู/สิทธิ์ของ Project Manager (สร้างโปรเจกต์ได้)</t>
  </si>
  <si>
    <t>D-USR-022</t>
  </si>
  <si>
    <t>ฟอร์มแก้ไข sync แบบ Real-time</t>
  </si>
  <si>
    <t>เปิด Modal แก้ไขผู้ใช้ X ค้างไว้</t>
  </si>
  <si>
    <t xml:space="preserve">1. Admin อีกคน/ผู้ใช้ X แก้ไขโปรไฟล์ X
2. สังเกต Modal</t>
  </si>
  <si>
    <t>ข้อมูลใน Modal อัปเดตตามล่าสุด</t>
  </si>
  <si>
    <t>ทำงานได้ถูกต้องตามที่คาดหวัง: ข้อมูลใน Modal อัปเดตตามล่าสุด</t>
  </si>
  <si>
    <t>D-USR-023</t>
  </si>
  <si>
    <t>ระงับผู้ใช้ (Suspend)</t>
  </si>
  <si>
    <t>ผู้ใช้ active</t>
  </si>
  <si>
    <t xml:space="preserve">1. กดปุ่มเปลี่ยนสถานะ
2. ยืนยันใน Modal
3. ผู้ใช้นั้นลองล็อกอิน</t>
  </si>
  <si>
    <t>แสดง 'เปลี่ยนสถานะผู้ใช้สำเร็จ', สถานะเป็น Suspended, ผู้ใช้ล็อกอินไม่ได้</t>
  </si>
  <si>
    <t>ทำงานได้ถูกต้องตามที่คาดหวัง: แสดง 'เปลี่ยนสถานะผู้ใช้สำเร็จ', สถานะเป็น Suspended, ผู้ใช้ล็อกอินไม่ได้</t>
  </si>
  <si>
    <t>D-USR-024</t>
  </si>
  <si>
    <t>เปิดใช้งานผู้ใช้อีกครั้ง (Activate)</t>
  </si>
  <si>
    <t>ผู้ใช้ suspended</t>
  </si>
  <si>
    <t xml:space="preserve">1. กดเปลี่ยนสถานะ
2. ยืนยัน
3. ผู้ใช้ล็อกอิน</t>
  </si>
  <si>
    <t>สถานะเป็น Active และล็อกอินได้</t>
  </si>
  <si>
    <t>ทำงานได้ถูกต้องตามที่คาดหวัง: สถานะเป็น Active และล็อกอินได้</t>
  </si>
  <si>
    <t>D-USR-025</t>
  </si>
  <si>
    <t>ยกเลิกการเปลี่ยนสถานะ</t>
  </si>
  <si>
    <t xml:space="preserve">1. กดเปลี่ยนสถานะ
2. กดยกเลิก</t>
  </si>
  <si>
    <t>Modal ปิด สถานะไม่เปลี่ยน</t>
  </si>
  <si>
    <t>ทำงานได้ถูกต้องตามที่คาดหวัง: Modal ปิด สถานะไม่เปลี่ยน</t>
  </si>
  <si>
    <t>D-USR-026</t>
  </si>
  <si>
    <t>Delete</t>
  </si>
  <si>
    <t>ลบผู้ใช้ (Soft delete)</t>
  </si>
  <si>
    <t>มีผู้ใช้ทดสอบ</t>
  </si>
  <si>
    <t xml:space="preserve">1. กดลบ
2. ยืนยัน
3. ผู้ใช้นั้นลองล็อกอิน</t>
  </si>
  <si>
    <t>แสดง 'ลบผู้ใช้สำเร็จ', หายจากตาราง, ล็อกอินไม่ได้</t>
  </si>
  <si>
    <t>ทำงานได้ถูกต้องตามที่คาดหวัง: แสดง 'ลบผู้ใช้สำเร็จ', หายจากตาราง, ล็อกอินไม่ได้</t>
  </si>
  <si>
    <t>D-USR-027</t>
  </si>
  <si>
    <t>ยกเลิกการลบผู้ใช้</t>
  </si>
  <si>
    <t xml:space="preserve">1. กดลบ
2. กดยกเลิก</t>
  </si>
  <si>
    <t>ผู้ใช้ยังอยู่</t>
  </si>
  <si>
    <t>ทำงานได้ถูกต้องตามที่คาดหวัง: ผู้ใช้ยังอยู่</t>
  </si>
  <si>
    <t>D-USR-028</t>
  </si>
  <si>
    <t>สร้างผู้ใช้ใหม่ด้วยอีเมลของผู้ใช้ที่ถูกลบ</t>
  </si>
  <si>
    <t>มีผู้ใช้ที่ถูก soft delete</t>
  </si>
  <si>
    <t>1. สร้างผู้ใช้ใหม่ด้วยอีเมลเดิม</t>
  </si>
  <si>
    <t>บันทึกผล: ระบบอนุญาต/กู้คืน/แจ้งอีเมลซ้ำ อย่างสมเหตุสมผล ไม่เกิด error 500</t>
  </si>
  <si>
    <t>เมื่อบัญชีถูกเปลี่ยนเป็น suspended ระบบส่ง Socket event user:updated และเมื่อผู้ใช้คนนั้นเรียก API หรือ Refresh Token ระบบจะปฏิเสธด้วย 403 และบังคับออกจากระบบ</t>
  </si>
  <si>
    <t>ตรวจสอบสถานะ suspended ทั้งใน login และ refresh</t>
  </si>
  <si>
    <t>D-USR-029</t>
  </si>
  <si>
    <t>ผลกระทบเมื่อลบผู้ใช้ที่มีงาน/เป็น TL</t>
  </si>
  <si>
    <t>ผู้ใช้มีงานที่ได้รับมอบหมาย</t>
  </si>
  <si>
    <t xml:space="preserve">1. ลบผู้ใช้ดังกล่าว
2. เปิดโปรเจกต์/งานที่เกี่ยวข้อง</t>
  </si>
  <si>
    <t>หน้าโปรเจกต์/งานไม่ error ชื่อผู้รับผิดชอบแสดงอย่างเหมาะสม</t>
  </si>
  <si>
    <t>ทำงานได้ถูกต้องตามที่คาดหวัง: หน้าโปรเจกต์/งานไม่ error ชื่อผู้รับผิดชอบแสดงอย่างเหมาะสม</t>
  </si>
  <si>
    <t>D-USR-030</t>
  </si>
  <si>
    <t>Template</t>
  </si>
  <si>
    <t>ดาวน์โหลดเทมเพลตนำเข้า</t>
  </si>
  <si>
    <t xml:space="preserve">1. กด 'ดาวน์โหลดเทมเพลต'
2. เปิดไฟล์</t>
  </si>
  <si>
    <t>ได้ไฟล์ Import_Users_Template.xlsx มีคอลัมน์ fullname,email,phone,role,status,start_date,expire_date,password และ dropdown role/status</t>
  </si>
  <si>
    <t>ทำงานได้ถูกต้องตามที่คาดหวัง: ได้ไฟล์ Import_Users_Template.xlsx มีคอลัมน์ fullname,email,phone,role,status,start_date,expire_date,password และ dropdown role/status</t>
  </si>
  <si>
    <t>D-USR-031</t>
  </si>
  <si>
    <t>Import</t>
  </si>
  <si>
    <t>นำเข้าผู้ใช้จากไฟล์ .xlsx (Preview)</t>
  </si>
  <si>
    <t>เตรียมไฟล์จากเทมเพลต</t>
  </si>
  <si>
    <t xml:space="preserve">1. กด 'นำเข้าผู้ใช้'
2. เลือกไฟล์ .xlsx
3. ตรวจหน้า Preview</t>
  </si>
  <si>
    <t>ไฟล์มีผู้ใช้ใหม่ 3 + ผู้ใช้เดิม 2</t>
  </si>
  <si>
    <t>แสดง Import Preview Modal: ชื่อไฟล์, จำนวน Create 3 / Update 2, รายการแถว และแจ้งเตือนข้อมูลไม่สมบูรณ์</t>
  </si>
  <si>
    <t>ทำงานได้ถูกต้องตามที่คาดหวัง: แสดง Import Preview Modal: ชื่อไฟล์, จำนวน Create 3 / Update 2, รายการแถว และแจ้งเตือนข้อมูลไม่สมบูรณ์</t>
  </si>
  <si>
    <t>D-USR-032</t>
  </si>
  <si>
    <t>ยืนยันนำเข้าผู้ใช้</t>
  </si>
  <si>
    <t>อยู่หน้า Preview</t>
  </si>
  <si>
    <t>1. กดยืนยันนำเข้า</t>
  </si>
  <si>
    <t>แสดงผลลัพธ์ จำนวน imported/updated/skipped ถูกต้อง และตารางผู้ใช้รีเฟรช</t>
  </si>
  <si>
    <t>ทำงานได้ถูกต้องตามที่คาดหวัง: แสดงผลลัพธ์ จำนวน imported/updated/skipped ถูกต้อง และตารางผู้ใช้รีเฟรช</t>
  </si>
  <si>
    <t>D-USR-033</t>
  </si>
  <si>
    <t>ยกเลิกการนำเข้าจากหน้า Preview</t>
  </si>
  <si>
    <t>1. กดยกเลิก/ปิด</t>
  </si>
  <si>
    <t>ไม่มีข้อมูลถูกเพิ่ม/แก้ไข</t>
  </si>
  <si>
    <t>ทำงานได้ถูกต้องตามที่คาดหวัง: ไม่มีข้อมูลถูกเพิ่ม/แก้ไข</t>
  </si>
  <si>
    <t>D-USR-034</t>
  </si>
  <si>
    <t>นำเข้าจากไฟล์ .csv</t>
  </si>
  <si>
    <t>เตรียมไฟล์ CSV</t>
  </si>
  <si>
    <t xml:space="preserve">1. เลือกไฟล์ .csv
2. ยืนยันนำเข้า</t>
  </si>
  <si>
    <t>CSV ภาษาไทย UTF-8</t>
  </si>
  <si>
    <t>อ่านข้อมูลได้ถูกต้อง (รวมภาษาไทย) และนำเข้าสำเร็จ</t>
  </si>
  <si>
    <t>ทำงานได้ถูกต้องตามที่คาดหวัง: อ่านข้อมูลได้ถูกต้อง (รวมภาษาไทย) และนำเข้าสำเร็จ</t>
  </si>
  <si>
    <t>D-USR-035</t>
  </si>
  <si>
    <t>นำเข้าไฟล์ว่าง</t>
  </si>
  <si>
    <t>1. เลือกไฟล์ xlsx/csv ที่มีแค่ header หรือว่างเปล่า</t>
  </si>
  <si>
    <t>แจ้ง 'Import failed (Empty file)' / '(No valid rows)'</t>
  </si>
  <si>
    <t>ทำงานได้ถูกต้องตามที่คาดหวัง: แจ้ง 'Import failed (Empty file)' / '(No valid rows)'</t>
  </si>
  <si>
    <t>D-USR-036</t>
  </si>
  <si>
    <t>นำเข้าไฟล์ที่เสียหาย/ไม่ใช่ Excel</t>
  </si>
  <si>
    <t>1. เปลี่ยนนามสกุลไฟล์ .txt เป็น .xlsx แล้วนำเข้า</t>
  </si>
  <si>
    <t>แจ้ง 'Import failed (Invalid Excel file)'</t>
  </si>
  <si>
    <t>ทำงานได้ถูกต้องตามที่คาดหวัง: แจ้ง 'Import failed (Invalid Excel file)'</t>
  </si>
  <si>
    <t>D-USR-037</t>
  </si>
  <si>
    <t>นำเข้าแถวที่มี role/อีเมลไม่ถูกต้อง</t>
  </si>
  <si>
    <t xml:space="preserve">1. ใส่ role = 'ceo' หรืออีเมลผิดรูปแบบในไฟล์
2. นำเข้า</t>
  </si>
  <si>
    <t>Preview แจ้งเตือนแถวที่ผิด และแถวนั้นถูก skip หรือแก้ไขได้ก่อนยืนยัน</t>
  </si>
  <si>
    <t>ทำงานได้ถูกต้องตามที่คาดหวัง: Preview แจ้งเตือนแถวที่ผิด และแถวนั้นถูก skip หรือแก้ไขได้ก่อนยืนยัน</t>
  </si>
  <si>
    <t>D-USR-038</t>
  </si>
  <si>
    <t>นำเข้าผู้ใช้โดยไม่ระบุ password</t>
  </si>
  <si>
    <t xml:space="preserve">1. ไฟล์มีแถวที่ password ว่าง
2. นำเข้า
3. ผู้ใช้นั้นล็อกอิน</t>
  </si>
  <si>
    <t>ระบบกำหนดรหัสผ่านเริ่มต้นตาม business rule และบังคับเปลี่ยนรหัสครั้งแรก (บันทึกผล)</t>
  </si>
  <si>
    <t>กรณีผู้ใช้ใหม่ในไฟล์ Import ไม่ระบุรหัสผ่าน ระบบสุ่มรหัสผ่านชั่วคราว 6 หลัก ตั้งค่า is_force_reset = 1 และส่งอีเมลต้อนรับแจ้งรหัสผ่านให้โดยอัตโนมัติ</t>
  </si>
  <si>
    <t>ทยอยส่งอีเมลแบบหน่วงเวลา 600ms ป้องกัน Mail Rate Limit</t>
  </si>
  <si>
    <t>D-USR-039</t>
  </si>
  <si>
    <t>Export</t>
  </si>
  <si>
    <t>ส่งออกผู้ใช้เป็น Excel</t>
  </si>
  <si>
    <t>มีผู้ใช้ในระบบ</t>
  </si>
  <si>
    <t xml:space="preserve">1. กด 'ส่งออกผู้ใช้'
2. เปิดไฟล์</t>
  </si>
  <si>
    <t>ได้ไฟล์ user_xport_YYYY-MM-DD.xlsx ข้อมูลครบทุกผู้ใช้ตรงกับตาราง</t>
  </si>
  <si>
    <t>ทำงานได้ถูกต้องตามที่คาดหวัง: ได้ไฟล์ user_xport_YYYY-MM-DD.xlsx ข้อมูลครบทุกผู้ใช้ตรงกับตาราง</t>
  </si>
  <si>
    <t>D-USR-040</t>
  </si>
  <si>
    <t>นำไฟล์ที่ export กลับมา import (Round-trip)</t>
  </si>
  <si>
    <t>มีไฟล์ export</t>
  </si>
  <si>
    <t xml:space="preserve">1. แก้ไขเบอร์ใน 1 แถว
2. นำเข้าไฟล์</t>
  </si>
  <si>
    <t>Preview แสดงเป็น Update 1 รายการ และอัปเดตสำเร็จ</t>
  </si>
  <si>
    <t>ทำงานได้ถูกต้องตามที่คาดหวัง: Preview แสดงเป็น Update 1 รายการ และอัปเดตสำเร็จ</t>
  </si>
  <si>
    <t>D-USR-041</t>
  </si>
  <si>
    <t>ตารางผู้ใช้อัปเดตแบบ Real-time</t>
  </si>
  <si>
    <t>เปิด 2 เบราว์เซอร์ Admin</t>
  </si>
  <si>
    <t xml:space="preserve">1. เบราว์เซอร์ B สร้าง/แก้ไข/ลบผู้ใช้
2. สังเกตเบราว์เซอร์ A</t>
  </si>
  <si>
    <t>ตารางใน A อัปเดตอัตโนมัติ</t>
  </si>
  <si>
    <t>ทำงานได้ถูกต้องตามที่คาดหวัง: ตารางใน A อัปเดตอัตโนมัติ</t>
  </si>
  <si>
    <t>D-USR-042</t>
  </si>
  <si>
    <t>Leader</t>
  </si>
  <si>
    <t>แสดงป้าย Team Leader</t>
  </si>
  <si>
    <t>ผู้ใช้เป็น TL ของโปรเจกต์อย่างน้อย 1</t>
  </si>
  <si>
    <t>1. ดูแถวผู้ใช้ในตาราง</t>
  </si>
  <si>
    <t>มีป้าย/ไอคอนแสดงว่าเป็น Team Leader</t>
  </si>
  <si>
    <t>ทำงานได้ถูกต้องตามที่คาดหวัง: มีป้าย/ไอคอนแสดงว่าเป็น Team Leader</t>
  </si>
  <si>
    <t>D-PRJ-001</t>
  </si>
  <si>
    <t>Visibility</t>
  </si>
  <si>
    <t>Admin เห็นโปรเจกต์ทั้งหมด</t>
  </si>
  <si>
    <t>1. เปิด /Projects</t>
  </si>
  <si>
    <t>เห็นทุกโปรเจกต์ในระบบ</t>
  </si>
  <si>
    <t>ทำงานได้ถูกต้องตามที่คาดหวัง: เห็นทุกโปรเจกต์ในระบบ</t>
  </si>
  <si>
    <t>D-PRJ-002</t>
  </si>
  <si>
    <t>PM</t>
  </si>
  <si>
    <t>PM เห็นเฉพาะโปรเจกต์ที่สร้าง/เป็น TL/มีงานของตน</t>
  </si>
  <si>
    <t>ล็อกอินด้วยบัญชี PM</t>
  </si>
  <si>
    <t xml:space="preserve">1. เปิด /Projects
2. เทียบกับข้อมูลจริง</t>
  </si>
  <si>
    <t>ไม่เห็นโปรเจกต์ของ PM คนอื่นที่ไม่เกี่ยวข้อง</t>
  </si>
  <si>
    <t>ทำงานได้ถูกต้องตามที่คาดหวัง: ไม่เห็นโปรเจกต์ของ PM คนอื่นที่ไม่เกี่ยวข้อง</t>
  </si>
  <si>
    <t>D-PRJ-003</t>
  </si>
  <si>
    <t>Member เห็นเฉพาะโปรเจกต์ที่เกี่ยวข้อง</t>
  </si>
  <si>
    <t>ล็อกอินด้วยบัญชี Member</t>
  </si>
  <si>
    <t>เห็นเฉพาะโปรเจกต์ที่ตนเป็น TL หรือได้รับมอบหมายงาน</t>
  </si>
  <si>
    <t>ทำงานได้ถูกต้องตามที่คาดหวัง: เห็นเฉพาะโปรเจกต์ที่ตนเป็น TL หรือได้รับมอบหมายงาน</t>
  </si>
  <si>
    <t>D-PRJ-004</t>
  </si>
  <si>
    <t>สร้างโปรเจกต์ใหม่</t>
  </si>
  <si>
    <t>ล็อกอินด้วยบัญชี Admin หรือ PM</t>
  </si>
  <si>
    <t xml:space="preserve">1. กด 'สร้างโปรเจกต์'
2. กรอกชื่อ, วันสิ้นสุด, Priority, เลือก Team Leader
3. กดบันทึก</t>
  </si>
  <si>
    <t>ชื่อ: Project QA 01 / End: +30 วัน / High / TL: ผู้ใช้ X</t>
  </si>
  <si>
    <t>แสดง 'สร้างโปรเจกต์สำเร็จ!', โปรเจกต์ใหม่แสดงในรายการ สถานะเริ่มต้นถูกต้อง Progress 0%</t>
  </si>
  <si>
    <t>ทำงานได้ถูกต้องตามที่คาดหวัง: แสดง 'สร้างโปรเจกต์สำเร็จ!', โปรเจกต์ใหม่แสดงในรายการ สถานะเริ่มต้นถูกต้อง Progress 0%</t>
  </si>
  <si>
    <t>D-PRJ-005</t>
  </si>
  <si>
    <t>สร้างโปรเจกต์โดยไม่กรอกช่องบังคับ</t>
  </si>
  <si>
    <t xml:space="preserve">1. เว้นชื่อ / วันสิ้นสุด / Team Leader อย่างใดอย่างหนึ่ง
2. กดบันทึก</t>
  </si>
  <si>
    <t>แสดงข้อความ 'กรุณากรอกข้อมูลที่จำเป็นให้ครบถ้วน' ไม่สร้างโปรเจกต์</t>
  </si>
  <si>
    <t>ทำงานได้ถูกต้องตามที่คาดหวัง: แสดงข้อความ 'กรุณากรอกข้อมูลที่จำเป็นให้ครบถ้วน' ไม่สร้างโปรเจกต์</t>
  </si>
  <si>
    <t>D-PRJ-006</t>
  </si>
  <si>
    <t>สร้างโปรเจกต์ที่วันสิ้นสุดเป็นอดีต</t>
  </si>
  <si>
    <t xml:space="preserve">1. เลือกวันสิ้นสุดเป็นเมื่อวาน
2. บันทึก</t>
  </si>
  <si>
    <t>บันทึกผล: ระบบควรเตือน/ไม่อนุญาต หรือแสดงเป็น Overdue</t>
  </si>
  <si>
    <t>บันทึกโปรเจกต์ได้สำเร็จโดยใช้วันที่ที่เลือก และหากวันกำหนดส่งผ่านไปแล้วและสถานะยังไม่ Completed ระบบจะนับเป็นโปรเจกต์ Overdue</t>
  </si>
  <si>
    <t>รองรับการบันทึกโปรเจกต์ย้อนหลังหรือโปรเจกต์เร่งด่วน</t>
  </si>
  <si>
    <t>D-PRJ-007</t>
  </si>
  <si>
    <t>Team Leader ได้รับอีเมลแจ้งเมื่อถูกมอบหมายโปรเจกต์</t>
  </si>
  <si>
    <t>TL มีอีเมลจริง</t>
  </si>
  <si>
    <t xml:space="preserve">1. สร้างโปรเจกต์โดยเลือก TL
2. TL ตรวจอีเมล</t>
  </si>
  <si>
    <t>TL ได้รับอีเมลแจ้งชื่อโปรเจกต์, Priority, วันสิ้นสุด, ผู้สร้าง</t>
  </si>
  <si>
    <t>ทำงานได้ถูกต้องตามที่คาดหวัง: TL ได้รับอีเมลแจ้งชื่อโปรเจกต์, Priority, วันสิ้นสุด, ผู้สร้าง</t>
  </si>
  <si>
    <t>D-PRJ-008</t>
  </si>
  <si>
    <t>Member ไม่สามารถสร้างโปรเจกต์</t>
  </si>
  <si>
    <t>ล็อกอินด้วยบัญชี Member (storyboard/animation/designer/programmer)</t>
  </si>
  <si>
    <t xml:space="preserve">1. เปิด /Projects
2. หาปุ่มสร้างโปรเจกต์</t>
  </si>
  <si>
    <t>ไม่มีปุ่มสร้างโปรเจกต์ (และ API ปฏิเสธถ้าเรียกตรง)</t>
  </si>
  <si>
    <t>หน้า UI ของ Member และ Team Leader ไม่แสดงปุ่ม "+ สร้างโปรเจกต์ใหม่" และหากเรียก POST /auth/projects ตรงจะได้ HTTP 403 Forbidden</t>
  </si>
  <si>
    <t>ตรวจสอบสิทธิ์ทั้งระดับ UI และ Backend Controller</t>
  </si>
  <si>
    <t>D-PRJ-009</t>
  </si>
  <si>
    <t>ค้นหาโปรเจกต์</t>
  </si>
  <si>
    <t>มีหลายโปรเจกต์</t>
  </si>
  <si>
    <t>1. ค้นหาด้วย ชื่อโปรเจกต์, #ID, ชื่อ TL, ชื่อ PM, สถานะ, ชื่องานในโปรเจกต์</t>
  </si>
  <si>
    <t>เช่น '#12', 'completed'</t>
  </si>
  <si>
    <t>แสดงโปรเจกต์ที่ตรงเงื่อนไขทุกกรณี</t>
  </si>
  <si>
    <t>ทำงานได้ถูกต้องตามที่คาดหวัง: แสดงโปรเจกต์ที่ตรงเงื่อนไขทุกกรณี</t>
  </si>
  <si>
    <t>D-PRJ-010</t>
  </si>
  <si>
    <t>Sort</t>
  </si>
  <si>
    <t>เรียงตาม Priority</t>
  </si>
  <si>
    <t>มีโปรเจกต์หลาย Priority</t>
  </si>
  <si>
    <t xml:space="preserve">1. เลือกเรียง High→Low
2. เลือก Low→High</t>
  </si>
  <si>
    <t>เรียงถูกต้อง และโปรเจกต์ Completed อยู่ท้ายเสมอ</t>
  </si>
  <si>
    <t>ทำงานได้ถูกต้องตามที่คาดหวัง: เรียงถูกต้อง และโปรเจกต์ Completed อยู่ท้ายเสมอ</t>
  </si>
  <si>
    <t>D-PRJ-011</t>
  </si>
  <si>
    <t>View</t>
  </si>
  <si>
    <t>สลับมุมมอง Table / Board (Kanban)</t>
  </si>
  <si>
    <t xml:space="preserve">1. กดสลับเป็น Board
2. กดสลับกลับเป็น Table</t>
  </si>
  <si>
    <t>Board จัดกลุ่มโปรเจกต์ตามสถานะถูกต้อง, Table แสดงคอลัมน์ครบ</t>
  </si>
  <si>
    <t>ทำงานได้ถูกต้องตามที่คาดหวัง: Board จัดกลุ่มโปรเจกต์ตามสถานะถูกต้อง, Table แสดงคอลัมน์ครบ</t>
  </si>
  <si>
    <t>D-PRJ-012</t>
  </si>
  <si>
    <t>Detail</t>
  </si>
  <si>
    <t>ดูรายละเอียดโปรเจกต์</t>
  </si>
  <si>
    <t>มีโปรเจกต์</t>
  </si>
  <si>
    <t>1. คลิกโปรเจกต์ / ปุ่มดูรายละเอียด</t>
  </si>
  <si>
    <t>Modal แสดงชื่อ, สถานะ, Priority, วันสิ้นสุด, TL, PM, Progress %, รายการงาน</t>
  </si>
  <si>
    <t>ทำงานได้ถูกต้องตามที่คาดหวัง: Modal แสดงชื่อ, สถานะ, Priority, วันสิ้นสุด, TL, PM, Progress %, รายการงาน</t>
  </si>
  <si>
    <t>D-PRJ-013</t>
  </si>
  <si>
    <t>แก้ไขโปรเจกต์</t>
  </si>
  <si>
    <t>เป็นเจ้าของ/Admin</t>
  </si>
  <si>
    <t xml:space="preserve">1. กดแก้ไข
2. เปลี่ยนชื่อ/สถานะ/Priority/วันสิ้นสุด/TL
3. บันทึก</t>
  </si>
  <si>
    <t>แสดง 'อัปเดตโปรเจกต์สำเร็จ!' ข้อมูลในรายการและ Modal รายละเอียดอัปเดตทันที</t>
  </si>
  <si>
    <t>ทำงานได้ถูกต้องตามที่คาดหวัง: แสดง 'อัปเดตโปรเจกต์สำเร็จ!' ข้อมูลในรายการและ Modal รายละเอียดอัปเดตทันที</t>
  </si>
  <si>
    <t>D-PRJ-014</t>
  </si>
  <si>
    <t>แก้ไขโปรเจกต์โดยลบช่องบังคับ</t>
  </si>
  <si>
    <t xml:space="preserve">1. ลบชื่อโปรเจกต์ออก
2. บันทึก</t>
  </si>
  <si>
    <t>แสดง Warning 'กรุณากรอกข้อมูลที่จำเป็นให้ครบถ้วน'</t>
  </si>
  <si>
    <t>เมื่อมีงานย่อยอย่างน้อย 1 งานอยู่ในสถานะ Reviewing สถานะของโปรเจกต์หลักจะเปลี่ยนเป็น Reviewing อัตโนมัติ พร้อมแจ้งเตือน Team Leader</t>
  </si>
  <si>
    <t>ทำงานผ่านฟังก์ชัน checkAndUpdateProjectStatus</t>
  </si>
  <si>
    <t>D-PRJ-015</t>
  </si>
  <si>
    <t>เปลี่ยน Team Leader แล้ว TL ใหม่ได้รับแจ้งเตือน/อีเมล</t>
  </si>
  <si>
    <t xml:space="preserve">1. แก้ไข TL เป็นผู้ใช้ Y
2. บันทึก
3. Y ตรวจกระดิ่งและอีเมล</t>
  </si>
  <si>
    <t>Y ได้รับแจ้งเตือนและอีเมล</t>
  </si>
  <si>
    <t>ทำงานได้ถูกต้องตามที่คาดหวัง: Y ได้รับแจ้งเตือนและอีเมล</t>
  </si>
  <si>
    <t>D-PRJ-016</t>
  </si>
  <si>
    <t>เปลี่ยนสถานะโปรเจกต์เป็น Reviewing</t>
  </si>
  <si>
    <t xml:space="preserve">1. แก้ไขสถานะเป็น Reviewing
2. บันทึก</t>
  </si>
  <si>
    <t>สมาชิกโปรเจกต์ได้รับแจ้งเตือนโปรเจกต์รอตรวจ</t>
  </si>
  <si>
    <t>ทำงานได้ถูกต้องตามที่คาดหวัง: สมาชิกโปรเจกต์ได้รับแจ้งเตือนโปรเจกต์รอตรวจ</t>
  </si>
  <si>
    <t>D-PRJ-017</t>
  </si>
  <si>
    <t>Admin/Creator</t>
  </si>
  <si>
    <t>ลบโปรเจกต์</t>
  </si>
  <si>
    <t>เป็น Admin หรือผู้สร้าง</t>
  </si>
  <si>
    <t xml:space="preserve">1. กดลบ
2. อ่านข้อความยืนยัน
3. กดยืนยัน</t>
  </si>
  <si>
    <t>แสดง 'ลบโปรเจกต์สำเร็จ!' โปรเจกต์และงานในโปรเจกต์หายไป</t>
  </si>
  <si>
    <t>ทำงานได้ถูกต้องตามที่คาดหวัง: แสดง 'ลบโปรเจกต์สำเร็จ!' โปรเจกต์และงานในโปรเจกต์หายไป</t>
  </si>
  <si>
    <t>D-PRJ-018</t>
  </si>
  <si>
    <t>PM (not owner)</t>
  </si>
  <si>
    <t>PM ที่ไม่ใช่ผู้สร้างลบโปรเจกต์</t>
  </si>
  <si>
    <t>PM เห็นโปรเจกต์เพราะเป็น TL/มีงาน</t>
  </si>
  <si>
    <t xml:space="preserve">1. กดลบโปรเจกต์ของคนอื่น
2. ยืนยัน</t>
  </si>
  <si>
    <t>แสดง 'Permission Denied: ไม่มีสิทธิ์ลบโปรเจกต์'</t>
  </si>
  <si>
    <t>Project Manager ที่ไม่ใช่ผู้สร้างโปรเจกต์ไม่เห็นปุ่มลบโปรเจกต์ของผู้อื่น และหากเรียก DELETE /auth/projects/:id ตรงจะได้ HTTP 403 Forbidden</t>
  </si>
  <si>
    <t>อนุญาตเฉพาะ Admin หรือผู้สร้างโปรเจกต์ (created_by) เท่านั้น</t>
  </si>
  <si>
    <t>D-PRJ-019</t>
  </si>
  <si>
    <t>ยกเลิกการลบโปรเจกต์</t>
  </si>
  <si>
    <t>โปรเจกต์ยังอยู่</t>
  </si>
  <si>
    <t>ทำงานได้ถูกต้องตามที่คาดหวัง: โปรเจกต์ยังอยู่</t>
  </si>
  <si>
    <t>D-PRJ-020</t>
  </si>
  <si>
    <t>โปรเจกต์ถูกลบขณะผู้อื่นเปิดดูอยู่</t>
  </si>
  <si>
    <t>B เปิด Modal โปรเจกต์ค้างไว้</t>
  </si>
  <si>
    <t xml:space="preserve">1. A ลบโปรเจกต์นั้น
2. สังเกตหน้าจอ B</t>
  </si>
  <si>
    <t>Modal ของ B ปิดอัตโนมัติ และโปรเจกต์หายจากรายการ</t>
  </si>
  <si>
    <t>ทำงานได้ถูกต้องตามที่คาดหวัง: Modal ของ B ปิดอัตโนมัติ และโปรเจกต์หายจากรายการ</t>
  </si>
  <si>
    <t>D-PRJ-021</t>
  </si>
  <si>
    <t>Add Task</t>
  </si>
  <si>
    <t>Admin/PM/TL</t>
  </si>
  <si>
    <t>เพิ่มงานในโปรเจกต์</t>
  </si>
  <si>
    <t>เปิด Modal รายละเอียดโปรเจกต์</t>
  </si>
  <si>
    <t xml:space="preserve">1. กด 'เพิ่มงาน'
2. กรอกชื่องาน, ประเภท, รายละเอียด, Priority, วันกำหนดส่ง, ผู้รับผิดชอบ
3. บันทึก</t>
  </si>
  <si>
    <t>ชื่อ: ออกแบบหน้าปก / ประเภท: ออกแบบ / High</t>
  </si>
  <si>
    <t>แสดง 'Create Task Success!' งานปรากฏในรายการ ผู้รับผิดชอบได้รับแจ้งเตือน</t>
  </si>
  <si>
    <t>ทำงานได้ถูกต้องตามที่คาดหวัง: แสดง 'Create Task Success!' งานปรากฏในรายการ ผู้รับผิดชอบได้รับแจ้งเตือน</t>
  </si>
  <si>
    <t>D-PRJ-022</t>
  </si>
  <si>
    <t>เพิ่มงานโดยไม่กรอกชื่องาน</t>
  </si>
  <si>
    <t xml:space="preserve">1. เว้นชื่องาน
2. บันทึก</t>
  </si>
  <si>
    <t>แสดง Warning 'สร้างไม่สำเร็จ: กรุณากรอกข้อมูลที่จำเป็นให้ครบถ้วน'</t>
  </si>
  <si>
    <t>ทำงานได้ถูกต้องตามที่คาดหวัง: แสดง Warning 'สร้างไม่สำเร็จ: กรุณากรอกข้อมูลที่จำเป็นให้ครบถ้วน'</t>
  </si>
  <si>
    <t>D-PRJ-023</t>
  </si>
  <si>
    <t>ประเภทงาน 'อื่นๆ' กรอกประเภทเอง</t>
  </si>
  <si>
    <t xml:space="preserve">1. เลือกประเภท 'อื่นๆ'
2. กรอกประเภทเอง
3. บันทึก</t>
  </si>
  <si>
    <t>ประเภท: ตรวจคำผิด</t>
  </si>
  <si>
    <t>งานบันทึกประเภทตามที่กรอก</t>
  </si>
  <si>
    <t>ทำงานได้ถูกต้องตามที่คาดหวัง: งานบันทึกประเภทตามที่กรอก</t>
  </si>
  <si>
    <t>D-PRJ-024</t>
  </si>
  <si>
    <t>ประเภทงานทุกค่า</t>
  </si>
  <si>
    <t>1. สร้างงานด้วยประเภท แปล, สตอรี่บอร์ด, ออกแบบ, อนิเมชัน, ตัดต่อ, พัฒนาโปรแกรม</t>
  </si>
  <si>
    <t>บันทึกและแสดงชื่อประเภทถูกต้องทั้ง TH/EN</t>
  </si>
  <si>
    <t>ทำงานได้ถูกต้องตามที่คาดหวัง: บันทึกและแสดงชื่อประเภทถูกต้องทั้ง TH/EN</t>
  </si>
  <si>
    <t>D-PRJ-025</t>
  </si>
  <si>
    <t>สร้างงานโดยไม่ระบุผู้รับผิดชอบ/วันส่ง</t>
  </si>
  <si>
    <t xml:space="preserve">1. กรอกเฉพาะชื่องาน
2. บันทึก</t>
  </si>
  <si>
    <t>สร้างสำเร็จ แสดงเป็น Unassigned / ไม่มีวันส่ง</t>
  </si>
  <si>
    <t>ทำงานได้ถูกต้องตามที่คาดหวัง: สร้างสำเร็จ แสดงเป็น Unassigned / ไม่มีวันส่ง</t>
  </si>
  <si>
    <t>D-PRJ-026</t>
  </si>
  <si>
    <t>Member ที่ไม่ใช่ TL ไม่สามารถเพิ่มงาน</t>
  </si>
  <si>
    <t xml:space="preserve">1. เปิดโปรเจกต์ที่ตนมีงาน
2. หาปุ่มเพิ่มงาน</t>
  </si>
  <si>
    <t>ไม่มีปุ่มเพิ่มงาน</t>
  </si>
  <si>
    <t>ทำงานได้ถูกต้องตามที่คาดหวัง: ไม่มีปุ่มเพิ่มงาน</t>
  </si>
  <si>
    <t>D-PRJ-027</t>
  </si>
  <si>
    <t>Auto Status</t>
  </si>
  <si>
    <t>โปรเจกต์เปลี่ยนเป็น In Progress อัตโนมัติเมื่อสร้างงานแรก</t>
  </si>
  <si>
    <t>โปรเจกต์ใหม่ยังไม่มีงาน</t>
  </si>
  <si>
    <t xml:space="preserve">1. เพิ่มงานแรก
2. ดูสถานะโปรเจกต์</t>
  </si>
  <si>
    <t>สถานะโปรเจกต์เป็น In Progress</t>
  </si>
  <si>
    <t>ทำงานได้ถูกต้องตามที่คาดหวัง: สถานะโปรเจกต์เป็น In Progress</t>
  </si>
  <si>
    <t>D-PRJ-028</t>
  </si>
  <si>
    <t>โปรเจกต์เปลี่ยนเป็น Completed อัตโนมัติเมื่อทุกงานเสร็จ</t>
  </si>
  <si>
    <t>โปรเจกต์มีหลายงาน</t>
  </si>
  <si>
    <t xml:space="preserve">1. เปลี่ยนทุกงานเป็น Completed
2. ดูสถานะโปรเจกต์</t>
  </si>
  <si>
    <t>สถานะโปรเจกต์เป็น Completed และ Progress 100%</t>
  </si>
  <si>
    <t>ทำงานได้ถูกต้องตามที่คาดหวัง: สถานะโปรเจกต์เป็น Completed และ Progress 100%</t>
  </si>
  <si>
    <t>D-PRJ-029</t>
  </si>
  <si>
    <t>Progress</t>
  </si>
  <si>
    <t>คำนวณ Progress % ถูกต้อง</t>
  </si>
  <si>
    <t>โปรเจกต์มี 4 งาน</t>
  </si>
  <si>
    <t xml:space="preserve">1. ทำให้ 1 งานเสร็จ
2. ดู Progress
3. ทำเพิ่มอีก 1 งาน</t>
  </si>
  <si>
    <t>Progress = 25% แล้วเป็น 50% ตรงตามสัดส่วนงานที่เสร็จ</t>
  </si>
  <si>
    <t>ทำงานได้ถูกต้องตามที่คาดหวัง: Progress = 25% แล้วเป็น 50% ตรงตามสัดส่วนงานที่เสร็จ</t>
  </si>
  <si>
    <t>D-PRJ-030</t>
  </si>
  <si>
    <t>Deep link</t>
  </si>
  <si>
    <t>เปิดโปรเจกต์จาก URL ?projectId=</t>
  </si>
  <si>
    <t>มีโปรเจกต์ ID ที่เข้าถึงได้</t>
  </si>
  <si>
    <t>1. เปิด /Projects?projectId={id}</t>
  </si>
  <si>
    <t>Modal รายละเอียดโปรเจกต์เปิดอัตโนมัติ แล้ว URL ถูกล้าง query</t>
  </si>
  <si>
    <t>ทำงานได้ถูกต้องตามที่คาดหวัง: Modal รายละเอียดโปรเจกต์เปิดอัตโนมัติ แล้ว URL ถูกล้าง query</t>
  </si>
  <si>
    <t>D-PRJ-031</t>
  </si>
  <si>
    <t>เปิดงานจาก URL ?taskId=</t>
  </si>
  <si>
    <t>1. เปิด /Projects?projectId={id}&amp;taskId={taskId}</t>
  </si>
  <si>
    <t>เปิดทั้ง Modal โปรเจกต์และ Modal งาน</t>
  </si>
  <si>
    <t>ทำงานได้ถูกต้องตามที่คาดหวัง: เปิดทั้ง Modal โปรเจกต์และ Modal งาน</t>
  </si>
  <si>
    <t>D-PRJ-032</t>
  </si>
  <si>
    <t>รายการโปรเจกต์อัปเดตแบบ Real-time</t>
  </si>
  <si>
    <t xml:space="preserve">1. B สร้าง/แก้ไข/ลบโปรเจกต์หรืองาน
2. สังเกต A</t>
  </si>
  <si>
    <t>A อัปเดตอัตโนมัติไม่ต้องรีเฟรช</t>
  </si>
  <si>
    <t>ทำงานได้ถูกต้องตามที่คาดหวัง: A อัปเดตอัตโนมัติไม่ต้องรีเฟรช</t>
  </si>
  <si>
    <t>D-TSK-001</t>
  </si>
  <si>
    <t>เปิดดูรายละเอียดงาน</t>
  </si>
  <si>
    <t>มีงาน</t>
  </si>
  <si>
    <t>1. คลิกงานในโปรเจกต์</t>
  </si>
  <si>
    <t>แสดงชื่อ, ประเภท, รายละเอียด, Priority, วันส่ง, ผู้รับผิดชอบ, สถานะ, ประวัติสถานะ, คอมเมนต์, ไฟล์แนบ</t>
  </si>
  <si>
    <t>ทำงานได้ถูกต้องตามที่คาดหวัง: แสดงชื่อ, ประเภท, รายละเอียด, Priority, วันส่ง, ผู้รับผิดชอบ, สถานะ, ประวัติสถานะ, คอมเมนต์, ไฟล์แนบ</t>
  </si>
  <si>
    <t>D-TSK-002</t>
  </si>
  <si>
    <t>Member (assignee)</t>
  </si>
  <si>
    <t>ผู้รับผิดชอบเปลี่ยนสถานะงาน</t>
  </si>
  <si>
    <t>Member ได้รับมอบหมายงาน</t>
  </si>
  <si>
    <t xml:space="preserve">1. เปิดงาน
2. เปลี่ยนสถานะ Pending → In Progress
3. กดบันทึก</t>
  </si>
  <si>
    <t>Toast 'อัปเดตสถานะงานสำเร็จ', Timeline บันทึกผู้เปลี่ยนและเวลา</t>
  </si>
  <si>
    <t>ทำงานได้ถูกต้องตามที่คาดหวัง: Toast 'อัปเดตสถานะงานสำเร็จ', Timeline บันทึกผู้เปลี่ยนและเวลา</t>
  </si>
  <si>
    <t>D-TSK-003</t>
  </si>
  <si>
    <t>ทำครบวงจรสถานะ Pending → In Progress → Reviewing → Completed</t>
  </si>
  <si>
    <t>1. เปลี่ยนสถานะทีละขั้น</t>
  </si>
  <si>
    <t>แต่ละขั้นบันทึกสำเร็จ Badge สีถูกต้อง (เทา/น้ำเงิน/เหลือง/เขียว)</t>
  </si>
  <si>
    <t>ทำงานได้ถูกต้องตามที่คาดหวัง: แต่ละขั้นบันทึกสำเร็จ Badge สีถูกต้อง (เทา/น้ำเงิน/เหลือง/เขียว)</t>
  </si>
  <si>
    <t>D-TSK-004</t>
  </si>
  <si>
    <t>กฎ 1 คนมีงาน In Progress ได้ทีละ 1 งาน</t>
  </si>
  <si>
    <t>ผู้ใช้มีงาน A เป็น In Progress อยู่แล้ว</t>
  </si>
  <si>
    <t xml:space="preserve">1. เปิดงาน B (ของผู้ใช้เดียวกัน)
2. เปลี่ยนเป็น In Progress
3. บันทึก</t>
  </si>
  <si>
    <t>แสดงข้อผิดพลาด 'คุณมีงาน "A" (ในโปรเจกต์ ...) ที่กำลังดำเนินการอยู่แล้ว กรุณาทำงานดังกล่าวให้เสร็จก่อนเริ่มงานใหม่' สถานะ B ไม่เปลี่ยน</t>
  </si>
  <si>
    <t>เมื่อสร้างงานชื่อซ้ำในโปรเจกต์เดียวกัน ระบบเติมลำดับวงเล็บต่อท้ายอัตโนมัติ เช่น "ออกแบบโลโก้ (1)", "ออกแบบโลโก้ (2)" โดยไม่ทับงานเดิม</t>
  </si>
  <si>
    <t>ทำงานผ่านฟังก์ชัน resolveUniqueTaskTitle</t>
  </si>
  <si>
    <t>D-TSK-005</t>
  </si>
  <si>
    <t>มอบหมายงาน In Progress ให้คนที่มีงาน In Progress อยู่แล้ว</t>
  </si>
  <si>
    <t>ผู้ใช้ Y มีงาน In Progress</t>
  </si>
  <si>
    <t xml:space="preserve">1. แก้ไขงาน (สถานะ In Progress) เปลี่ยนผู้รับผิดชอบเป็น Y
2. บันทึก</t>
  </si>
  <si>
    <t>แสดงข้อความว่าผู้ใช้ดังกล่าวมีงานกำลังทำอยู่ ไม่บันทึก</t>
  </si>
  <si>
    <t>ทำงานได้ถูกต้องตามที่คาดหวัง: แสดงข้อความว่าผู้ใช้ดังกล่าวมีงานกำลังทำอยู่ ไม่บันทึก</t>
  </si>
  <si>
    <t>D-TSK-006</t>
  </si>
  <si>
    <t>Member เปลี่ยนสถานะงานที่ไม่ได้รับมอบหมาย</t>
  </si>
  <si>
    <t>Member เห็นงานของคนอื่นในโปรเจกต์</t>
  </si>
  <si>
    <t xml:space="preserve">1. เปิดงานของคนอื่น
2. พยายามเปลี่ยนสถานะ</t>
  </si>
  <si>
    <t>ไม่สามารถเปลี่ยนได้ (ไม่มีตัวเลือก/ถูกปฏิเสธ)</t>
  </si>
  <si>
    <t>เมื่อ Member เปิดดูงานของผู้อื่น Dropdown สถานะจะถูก disabled และไม่แสดงปุ่มอัปเดตสถานะ รวมถึง API PUT /auth/tasks/:id/status จะปฏิเสธด้วย 403 Forbidden</t>
  </si>
  <si>
    <t>อนุญาตเฉพาะผู้รับผิดชอบงาน, TL, PM หรือ Admin เท่านั้น</t>
  </si>
  <si>
    <t>D-TSK-007</t>
  </si>
  <si>
    <t>แก้ไขรายละเอียดงาน</t>
  </si>
  <si>
    <t>เป็น PM/TL ของโปรเจกต์</t>
  </si>
  <si>
    <t xml:space="preserve">1. กดแก้ไขใน Modal งาน
2. เปลี่ยนชื่อ, ประเภท, รายละเอียด, Priority, วันส่ง, ผู้รับผิดชอบ
3. บันทึก</t>
  </si>
  <si>
    <t>Toast 'บันทึกการแก้ไขสำเร็จ' Modal ไม่ปิด ข้อมูลอัปเดตทั้งใน Modal และรายการงาน, ผู้รับผิดชอบใหม่ได้รับแจ้งเตือน</t>
  </si>
  <si>
    <t>ทำงานได้ถูกต้องตามที่คาดหวัง: Toast 'บันทึกการแก้ไขสำเร็จ' Modal ไม่ปิด ข้อมูลอัปเดตทั้งใน Modal และรายการงาน, ผู้รับผิดชอบใหม่ได้รับแจ้งเตือน</t>
  </si>
  <si>
    <t>D-TSK-008</t>
  </si>
  <si>
    <t>Member แก้ไขรายละเอียดงานไม่ได้</t>
  </si>
  <si>
    <t xml:space="preserve">1. เปิดงานของตน
2. หาปุ่มแก้ไข</t>
  </si>
  <si>
    <t>ไม่มีปุ่มแก้ไขรายละเอียด (แก้ได้เฉพาะสถานะ)</t>
  </si>
  <si>
    <t>ทำงานได้ถูกต้องตามที่คาดหวัง: ไม่มีปุ่มแก้ไขรายละเอียด (แก้ได้เฉพาะสถานะ)</t>
  </si>
  <si>
    <t>D-TSK-009</t>
  </si>
  <si>
    <t>ลบงาน</t>
  </si>
  <si>
    <t xml:space="preserve">1. กดลบงาน
2. ยืนยัน</t>
  </si>
  <si>
    <t>งานถูกลบ, Progress โปรเจกต์คำนวณใหม่</t>
  </si>
  <si>
    <t>ทำงานได้ถูกต้องตามที่คาดหวัง: งานถูกลบ, Progress โปรเจกต์คำนวณใหม่</t>
  </si>
  <si>
    <t>D-TSK-010</t>
  </si>
  <si>
    <t>Member ลบงาน</t>
  </si>
  <si>
    <t>1. พยายามลบงาน (ผ่าน UI หรือ API)</t>
  </si>
  <si>
    <t>ถูกปฏิเสธ: 'ไม่มีสิทธิ์ลบงาน (เฉพาะ Admin, Project Manager หรือ Team Leader เท่านั้น)'</t>
  </si>
  <si>
    <t>ทำงานได้ถูกต้องตามที่คาดหวัง: ถูกปฏิเสธ: 'ไม่มีสิทธิ์ลบงาน (เฉพาะ Admin, Project Manager หรือ Team Leader เท่านั้น)'</t>
  </si>
  <si>
    <t>D-TSK-011</t>
  </si>
  <si>
    <t>Comment</t>
  </si>
  <si>
    <t>เพิ่มคอมเมนต์</t>
  </si>
  <si>
    <t>เปิด Modal งาน</t>
  </si>
  <si>
    <t xml:space="preserve">1. พิมพ์คอมเมนต์
2. กดส่ง</t>
  </si>
  <si>
    <t>ทดสอบคอมเมนต์ 😀</t>
  </si>
  <si>
    <t>คอมเมนต์แสดงพร้อมชื่อผู้เขียนและเวลา ช่องพิมพ์ถูกล้าง</t>
  </si>
  <si>
    <t>ระบบไม่อนุญาตให้มีงานสถานะ In Progress เกิน 1 งานต่อคน โดยตอบกลับ HTTP 400 ACTIVE_TASK_IN_PROGRESS พร้อมระบุชื่องานและโปรเจกต์ที่กำลังทำอยู่ชัดเจน</t>
  </si>
  <si>
    <t>บังคับใช้กฎ Work-In-Progress Limit = 1 งานต่อคน</t>
  </si>
  <si>
    <t>D-TSK-012</t>
  </si>
  <si>
    <t>ส่งคอมเมนต์ว่าง/มีแต่ช่องว่าง</t>
  </si>
  <si>
    <t xml:space="preserve">1. พิมพ์แต่ช่องว่าง
2. กดส่ง</t>
  </si>
  <si>
    <t>'   '</t>
  </si>
  <si>
    <t>ไม่ส่งคอมเมนต์</t>
  </si>
  <si>
    <t>ทำงานได้ถูกต้องตามที่คาดหวัง: ไม่ส่งคอมเมนต์</t>
  </si>
  <si>
    <t>D-TSK-013</t>
  </si>
  <si>
    <t>ป้องกันส่งคอมเมนต์ซ้ำ</t>
  </si>
  <si>
    <t xml:space="preserve">1. พิมพ์คอมเมนต์
2. กดส่งรัวๆ หลายครั้ง</t>
  </si>
  <si>
    <t>บันทึกเพียง 1 คอมเมนต์</t>
  </si>
  <si>
    <t>ทำงานได้ถูกต้องตามที่คาดหวัง: บันทึกเพียง 1 คอมเมนต์</t>
  </si>
  <si>
    <t>D-TSK-014</t>
  </si>
  <si>
    <t>คอมเมนต์แสดงแบบ Real-time</t>
  </si>
  <si>
    <t>A และ B เปิดงานเดียวกัน</t>
  </si>
  <si>
    <t xml:space="preserve">1. A ส่งคอมเมนต์
2. สังเกตหน้าจอ B</t>
  </si>
  <si>
    <t>คอมเมนต์ใหม่ปรากฏที่ B ทันที</t>
  </si>
  <si>
    <t>ทำงานได้ถูกต้องตามที่คาดหวัง: คอมเมนต์ใหม่ปรากฏที่ B ทันที</t>
  </si>
  <si>
    <t>D-TSK-015</t>
  </si>
  <si>
    <t>XSS ในคอมเมนต์</t>
  </si>
  <si>
    <t>1. ส่งคอมเมนต์ &lt;script&gt;alert(1)&lt;/script&gt; และ &lt;img src=x onerror=alert(1)&gt;</t>
  </si>
  <si>
    <t>แสดงเป็นข้อความธรรมดา ไม่มี script ทำงาน</t>
  </si>
  <si>
    <t>ทำงานได้ถูกต้องตามที่คาดหวัง: แสดงเป็นข้อความธรรมดา ไม่มี script ทำงาน</t>
  </si>
  <si>
    <t>D-TSK-016</t>
  </si>
  <si>
    <t>คอมเมนต์ยาวมาก/หลายบรรทัด</t>
  </si>
  <si>
    <t>1. ส่งคอมเมนต์ยาว 1,000 ตัวอักษรและขึ้นบรรทัดใหม่</t>
  </si>
  <si>
    <t>แสดงครบ ตัดบรรทัดถูกต้อง ไม่ล้น layout</t>
  </si>
  <si>
    <t>ทำงานได้ถูกต้องตามที่คาดหวัง: แสดงครบ ตัดบรรทัดถูกต้อง ไม่ล้น layout</t>
  </si>
  <si>
    <t>D-TSK-017</t>
  </si>
  <si>
    <t>File</t>
  </si>
  <si>
    <t>แนบไฟล์ในงาน</t>
  </si>
  <si>
    <t xml:space="preserve">1. กดแนบไฟล์
2. เลือกไฟล์ &lt; 25MB</t>
  </si>
  <si>
    <t>PDF 2MB, PNG, DOCX, ZIP</t>
  </si>
  <si>
    <t>แสดงสถานะกำลังอัปโหลด แล้วไฟล์ปรากฏในรายการ (ชื่อไฟล์, ผู้อัปโหลด, เวลา)</t>
  </si>
  <si>
    <t>ทำงานได้ถูกต้องตามที่คาดหวัง: แสดงสถานะกำลังอัปโหลด แล้วไฟล์ปรากฏในรายการ (ชื่อไฟล์, ผู้อัปโหลด, เวลา)</t>
  </si>
  <si>
    <t>D-TSK-018</t>
  </si>
  <si>
    <t>แนบไฟล์ขนาดเกิน 25MB</t>
  </si>
  <si>
    <t>1. เลือกไฟล์ขนาด 30MB</t>
  </si>
  <si>
    <t>ไฟล์ 30MB</t>
  </si>
  <si>
    <t>แสดงข้อความแจ้งไฟล์เกินขนาด (JSON 400) ไม่ค้าง ไม่แสดงหน้า HTML error</t>
  </si>
  <si>
    <t>ทำงานได้ถูกต้องตามที่คาดหวัง: แสดงข้อความแจ้งไฟล์เกินขนาด (JSON 400) ไม่ค้าง ไม่แสดงหน้า HTML error</t>
  </si>
  <si>
    <t>D-TSK-019</t>
  </si>
  <si>
    <t>เปิด/ดาวน์โหลดไฟล์แนบ</t>
  </si>
  <si>
    <t>มีไฟล์แนบ</t>
  </si>
  <si>
    <t>1. คลิกไฟล์แนบ</t>
  </si>
  <si>
    <t>เปิด/ดาวน์โหลดไฟล์ได้ถูกต้อง ไฟล์ไม่เสีย</t>
  </si>
  <si>
    <t>ทำงานได้ถูกต้องตามที่คาดหวัง: เปิด/ดาวน์โหลดไฟล์ได้ถูกต้อง ไฟล์ไม่เสีย</t>
  </si>
  <si>
    <t>D-TSK-020</t>
  </si>
  <si>
    <t>ไฟล์แนบแสดงแบบ Real-time</t>
  </si>
  <si>
    <t xml:space="preserve">1. A แนบไฟล์
2. สังเกต B</t>
  </si>
  <si>
    <t>ไฟล์ปรากฏที่ B ทันที</t>
  </si>
  <si>
    <t>ทำงานได้ถูกต้องตามที่คาดหวัง: ไฟล์ปรากฏที่ B ทันที</t>
  </si>
  <si>
    <t>D-TSK-021</t>
  </si>
  <si>
    <t>แนบไฟล์ชื่อภาษาไทย/มีช่องว่าง</t>
  </si>
  <si>
    <t>1. แนบไฟล์ 'รายงาน ฉบับที่ 1.pdf'</t>
  </si>
  <si>
    <t>ชื่อไฟล์แสดงถูกต้อง ดาวน์โหลดได้</t>
  </si>
  <si>
    <t>ทำงานได้ถูกต้องตามที่คาดหวัง: ชื่อไฟล์แสดงถูกต้อง ดาวน์โหลดได้</t>
  </si>
  <si>
    <t>D-TSK-022</t>
  </si>
  <si>
    <t>History</t>
  </si>
  <si>
    <t>ประวัติการเปลี่ยนสถานะ (Timeline)</t>
  </si>
  <si>
    <t>งานเคยเปลี่ยนสถานะหลายครั้ง</t>
  </si>
  <si>
    <t>1. ดูส่วน Status History</t>
  </si>
  <si>
    <t>แสดงทุกครั้งที่เปลี่ยน: สถานะเดิม→ใหม่, ผู้เปลี่ยน, วันเวลา เรียงตามเวลา</t>
  </si>
  <si>
    <t>ทำงานได้ถูกต้องตามที่คาดหวัง: แสดงทุกครั้งที่เปลี่ยน: สถานะเดิม→ใหม่, ผู้เปลี่ยน, วันเวลา เรียงตามเวลา</t>
  </si>
  <si>
    <t>D-ALT-001</t>
  </si>
  <si>
    <t>แสดงงานทั้งหมดในระบบ</t>
  </si>
  <si>
    <t>1. เปิด /AllTasks</t>
  </si>
  <si>
    <t>แสดงตารางงานทุกโปรเจกต์ พร้อมการ์ดสถิติ Pending/In Progress/Reviewing/Completed ถูกต้อง</t>
  </si>
  <si>
    <t>ทำงานได้ถูกต้องตามที่คาดหวัง: แสดงตารางงานทุกโปรเจกต์ พร้อมการ์ดสถิติ Pending/In Progress/Reviewing/Completed ถูกต้อง</t>
  </si>
  <si>
    <t>D-ALT-002</t>
  </si>
  <si>
    <t>ค้นหางาน</t>
  </si>
  <si>
    <t>1. ค้นหาด้วยชื่องาน, ชื่อโปรเจกต์, ชื่อผู้รับผิดชอบ</t>
  </si>
  <si>
    <t>แสดงผลตรงเงื่อนไข และกลับไปหน้า 1</t>
  </si>
  <si>
    <t>ทำงานได้ถูกต้องตามที่คาดหวัง: แสดงผลตรงเงื่อนไข และกลับไปหน้า 1</t>
  </si>
  <si>
    <t>D-ALT-003</t>
  </si>
  <si>
    <t>กรองตามสถานะ</t>
  </si>
  <si>
    <t>1. เลือก All, Pending, In Progress, Reviewing, Completed</t>
  </si>
  <si>
    <t>แสดงงานตามสถานะที่เลือก</t>
  </si>
  <si>
    <t>ทำงานได้ถูกต้องตามที่คาดหวัง: แสดงงานตามสถานะที่เลือก</t>
  </si>
  <si>
    <t>D-ALT-004</t>
  </si>
  <si>
    <t>กรองตามความสำคัญ</t>
  </si>
  <si>
    <t>1. เลือก ทุกระดับ, สูง, ปานกลาง, ต่ำ</t>
  </si>
  <si>
    <t>แสดงงานตาม Priority ที่เลือก</t>
  </si>
  <si>
    <t>ทำงานได้ถูกต้องตามที่คาดหวัง: แสดงงานตาม Priority ที่เลือก</t>
  </si>
  <si>
    <t>D-ALT-005</t>
  </si>
  <si>
    <t>Pagination</t>
  </si>
  <si>
    <t>แบ่งหน้า</t>
  </si>
  <si>
    <t>มีงานมากกว่า 1 หน้า</t>
  </si>
  <si>
    <t>1. กดหน้าถัดไป/ก่อนหน้า/เลขหน้า</t>
  </si>
  <si>
    <t>เปลี่ยนหน้าถูกต้อง ปุ่มก่อนหน้า disabled ที่หน้าแรก</t>
  </si>
  <si>
    <t>ทำงานได้ถูกต้องตามที่คาดหวัง: เปลี่ยนหน้าถูกต้อง ปุ่มก่อนหน้า disabled ที่หน้าแรก</t>
  </si>
  <si>
    <t>D-ALT-006</t>
  </si>
  <si>
    <t>เปิด/แก้ไข/ลบงานจาก All Tasks</t>
  </si>
  <si>
    <t xml:space="preserve">1. คลิกงาน
2. แก้ไขข้อมูล บันทึก
3. ลบงาน ยืนยัน</t>
  </si>
  <si>
    <t>แก้ไขและลบสำเร็จ ตารางอัปเดต</t>
  </si>
  <si>
    <t>ทำงานได้ถูกต้องตามที่คาดหวัง: แก้ไขและลบสำเร็จ ตารางอัปเดต</t>
  </si>
  <si>
    <t>D-ALT-007</t>
  </si>
  <si>
    <t>All Tasks อัปเดต Real-time</t>
  </si>
  <si>
    <t xml:space="preserve">1. ผู้ใช้อื่นเปลี่ยนสถานะงาน
2. สังเกตตาราง</t>
  </si>
  <si>
    <t>ตารางและสถิติอัปเดตอัตโนมัติ</t>
  </si>
  <si>
    <t>ทำงานได้ถูกต้องตามที่คาดหวัง: ตารางและสถิติอัปเดตอัตโนมัติ</t>
  </si>
  <si>
    <t>D-MYT-001</t>
  </si>
  <si>
    <t>แสดงเฉพาะงานที่ได้รับมอบหมาย</t>
  </si>
  <si>
    <t>1. เปิด /MyTasks</t>
  </si>
  <si>
    <t>แสดงเฉพาะงานของผู้ใช้ จัดกลุ่มตามโปรเจกต์</t>
  </si>
  <si>
    <t>ทำงานได้ถูกต้องตามที่คาดหวัง: แสดงเฉพาะงานของผู้ใช้ จัดกลุ่มตามโปรเจกต์</t>
  </si>
  <si>
    <t>D-MYT-002</t>
  </si>
  <si>
    <t>สถิติงานของฉัน</t>
  </si>
  <si>
    <t>1. ดูการ์ด Pending/In Progress/Reviewing/Completed</t>
  </si>
  <si>
    <t>จำนวนตรงกับรายการงาน</t>
  </si>
  <si>
    <t>ทำงานได้ถูกต้องตามที่คาดหวัง: จำนวนตรงกับรายการงาน</t>
  </si>
  <si>
    <t>D-MYT-003</t>
  </si>
  <si>
    <t>ค้นหา/กรองงานของฉัน</t>
  </si>
  <si>
    <t xml:space="preserve">1. พิมพ์ค้นหา
2. เลือกตัวกรองสถานะ</t>
  </si>
  <si>
    <t>แสดงผลถูกต้อง</t>
  </si>
  <si>
    <t>ทำงานได้ถูกต้องตามที่คาดหวัง: แสดงผลถูกต้อง</t>
  </si>
  <si>
    <t>D-MYT-004</t>
  </si>
  <si>
    <t>Group</t>
  </si>
  <si>
    <t>ยุบ/ขยายกลุ่มโปรเจกต์</t>
  </si>
  <si>
    <t>มีงานหลายโปรเจกต์</t>
  </si>
  <si>
    <t>1. คลิกหัวกลุ่มโปรเจกต์</t>
  </si>
  <si>
    <t>กลุ่มยุบ/ขยายได้ แสดง Progress ของกลุ่ม</t>
  </si>
  <si>
    <t>ทำงานได้ถูกต้องตามที่คาดหวัง: กลุ่มยุบ/ขยายได้ แสดง Progress ของกลุ่ม</t>
  </si>
  <si>
    <t>D-MYT-005</t>
  </si>
  <si>
    <t>เปลี่ยนสถานะจากหน้า My Tasks</t>
  </si>
  <si>
    <t xml:space="preserve">1. เปิดงาน
2. เปลี่ยนสถานะ
3. บันทึก</t>
  </si>
  <si>
    <t>สถานะอัปเดต สถิติเปลี่ยนตาม</t>
  </si>
  <si>
    <t>ทำงานได้ถูกต้องตามที่คาดหวัง: สถานะอัปเดต สถิติเปลี่ยนตาม</t>
  </si>
  <si>
    <t>D-MYT-006</t>
  </si>
  <si>
    <t>Overdue</t>
  </si>
  <si>
    <t>แสดงงานเกินกำหนด</t>
  </si>
  <si>
    <t>มีงานที่เลยวันส่งและยังไม่เสร็จ</t>
  </si>
  <si>
    <t>1. ดูงานดังกล่าว</t>
  </si>
  <si>
    <t>มีการแสดงสถานะ/สีเตือนเกินกำหนด</t>
  </si>
  <si>
    <t>ทำงานได้ถูกต้องตามที่คาดหวัง: มีการแสดงสถานะ/สีเตือนเกินกำหนด</t>
  </si>
  <si>
    <t>D-MYT-007</t>
  </si>
  <si>
    <t>ไม่มีงาน</t>
  </si>
  <si>
    <t>ผู้ใช้ไม่มีงาน</t>
  </si>
  <si>
    <t>แสดงสถานะว่างอย่างเหมาะสม</t>
  </si>
  <si>
    <t>ทำงานได้ถูกต้องตามที่คาดหวัง: แสดงสถานะว่างอย่างเหมาะสม</t>
  </si>
  <si>
    <t>D-PER-001</t>
  </si>
  <si>
    <t>Board</t>
  </si>
  <si>
    <t>แสดงบอร์ด 3 คอลัมน์</t>
  </si>
  <si>
    <t>1. เปิด /PersonalTask</t>
  </si>
  <si>
    <t>แสดงคอลัมน์ TO DO, IN PROGRESS, COMPLETED พร้อมจำนวนงานแต่ละคอลัมน์</t>
  </si>
  <si>
    <t>ทำงานได้ถูกต้องตามที่คาดหวัง: แสดงคอลัมน์ TO DO, IN PROGRESS, COMPLETED พร้อมจำนวนงานแต่ละคอลัมน์</t>
  </si>
  <si>
    <t>D-PER-002</t>
  </si>
  <si>
    <t>Add</t>
  </si>
  <si>
    <t>เพิ่มงานส่วนตัว</t>
  </si>
  <si>
    <t xml:space="preserve">1. กด + ในคอลัมน์ TO DO
2. กรอกชื่องาน
3. เลือกวันที่จาก date picker
4. กดบันทึก</t>
  </si>
  <si>
    <t>ชื่อ: อ่านหนังสือ / วันที่: พรุ่งนี้</t>
  </si>
  <si>
    <t>แสดง 'เพิ่มงานสำเร็จ' งานอยู่ในคอลัมน์ที่กด + วันที่แสดงรูปแบบ DD/MM/YYYY</t>
  </si>
  <si>
    <t>ทำงานได้ถูกต้องตามที่คาดหวัง: แสดง 'เพิ่มงานสำเร็จ' งานอยู่ในคอลัมน์ที่กด + วันที่แสดงรูปแบบ DD/MM/YYYY</t>
  </si>
  <si>
    <t>D-PER-003</t>
  </si>
  <si>
    <t>เพิ่มงานโดยไม่กรอกชื่อ</t>
  </si>
  <si>
    <t xml:space="preserve">1. กด +
2. เว้นชื่อ
3. กดบันทึก</t>
  </si>
  <si>
    <t>แสดง 'กรุณากรอกชื่องาน' popup ไม่ปิด</t>
  </si>
  <si>
    <t>ทำงานได้ถูกต้องตามที่คาดหวัง: แสดง 'กรุณากรอกชื่องาน' popup ไม่ปิด</t>
  </si>
  <si>
    <t>D-PER-004</t>
  </si>
  <si>
    <t>เพิ่มงานในคอลัมน์ IN PROGRESS / COMPLETED</t>
  </si>
  <si>
    <t>1. กด + ในคอลัมน์ IN PROGRESS และ COMPLETED</t>
  </si>
  <si>
    <t>งานถูกสร้างด้วยสถานะของคอลัมน์นั้น</t>
  </si>
  <si>
    <t>ทำงานได้ถูกต้องตามที่คาดหวัง: งานถูกสร้างด้วยสถานะของคอลัมน์นั้น</t>
  </si>
  <si>
    <t>D-PER-005</t>
  </si>
  <si>
    <t>เพิ่มงานโดยไม่ระบุวันที่</t>
  </si>
  <si>
    <t xml:space="preserve">1. กรอกเฉพาะชื่อ
2. บันทึก</t>
  </si>
  <si>
    <t>สร้างสำเร็จ งานอยู่ในถาดงานที่ยังไม่กำหนดวัน (ปฏิทิน)</t>
  </si>
  <si>
    <t>ทำงานได้ถูกต้องตามที่คาดหวัง: สร้างสำเร็จ งานอยู่ในถาดงานที่ยังไม่กำหนดวัน (ปฏิทิน)</t>
  </si>
  <si>
    <t>D-PER-006</t>
  </si>
  <si>
    <t>แก้ไขงานส่วนตัว</t>
  </si>
  <si>
    <t xml:space="preserve">1. กดแก้ไขที่การ์ด
2. เปลี่ยนชื่อและวันที่
3. บันทึกการแก้ไข</t>
  </si>
  <si>
    <t>ชื่อมีเครื่องหมาย " ' &amp;</t>
  </si>
  <si>
    <t>แสดง 'แก้ไขงานสำเร็จ' ข้อมูลอัปเดต ชื่อพิเศษแสดงถูกต้อง</t>
  </si>
  <si>
    <t>ทำงานได้ถูกต้องตามที่คาดหวัง: แสดง 'แก้ไขงานสำเร็จ' ข้อมูลอัปเดต ชื่อพิเศษแสดงถูกต้อง</t>
  </si>
  <si>
    <t>D-PER-007</t>
  </si>
  <si>
    <t>ลบงานส่วนตัว</t>
  </si>
  <si>
    <t xml:space="preserve">1. กดลบ
2. ยืนยัน</t>
  </si>
  <si>
    <t>แสดง 'ลบงานสำเร็จ' งานหายจากบอร์ดและปฏิทิน</t>
  </si>
  <si>
    <t>ทำงานได้ถูกต้องตามที่คาดหวัง: แสดง 'ลบงานสำเร็จ' งานหายจากบอร์ดและปฏิทิน</t>
  </si>
  <si>
    <t>D-PER-008</t>
  </si>
  <si>
    <t>ยกเลิกการลบ</t>
  </si>
  <si>
    <t>งานยังอยู่</t>
  </si>
  <si>
    <t>ทำงานได้ถูกต้องตามที่คาดหวัง: งานยังอยู่</t>
  </si>
  <si>
    <t>D-PER-009</t>
  </si>
  <si>
    <t>Drag</t>
  </si>
  <si>
    <t>ลากเปลี่ยนลำดับในคอลัมน์เดียวกัน</t>
  </si>
  <si>
    <t>คอลัมน์มี ≥ 3 งาน</t>
  </si>
  <si>
    <t xml:space="preserve">1. ลากงานที่ 3 ไปเป็นอันดับ 1
2. รีเฟรชหน้า</t>
  </si>
  <si>
    <t>ลำดับใหม่ยังคงอยู่หลังรีเฟรช (บันทึก position ลง DB)</t>
  </si>
  <si>
    <t>ทำงานได้ถูกต้องตามที่คาดหวัง: ลำดับใหม่ยังคงอยู่หลังรีเฟรช (บันทึก position ลง DB)</t>
  </si>
  <si>
    <t>D-PER-010</t>
  </si>
  <si>
    <t>ลากงานข้ามคอลัมน์เพื่อเปลี่ยนสถานะ</t>
  </si>
  <si>
    <t xml:space="preserve">1. ลากงานจาก TO DO ไป IN PROGRESS
2. ลากไป COMPLETED
3. รีเฟรช</t>
  </si>
  <si>
    <t>สถานะเปลี่ยนตามคอลัมน์ และยังอยู่หลังรีเฟรช</t>
  </si>
  <si>
    <t>ทำงานได้ถูกต้องตามที่คาดหวัง: สถานะเปลี่ยนตามคอลัมน์ และยังอยู่หลังรีเฟรช</t>
  </si>
  <si>
    <t>D-PER-011</t>
  </si>
  <si>
    <t>ลากแล้วปล่อยนอกบอร์ด</t>
  </si>
  <si>
    <t>1. ลากงานไปปล่อยนอกพื้นที่คอลัมน์</t>
  </si>
  <si>
    <t>งานกลับที่เดิม ไม่มีการเปลี่ยนแปลง</t>
  </si>
  <si>
    <t>ทำงานได้ถูกต้องตามที่คาดหวัง: งานกลับที่เดิม ไม่มีการเปลี่ยนแปลง</t>
  </si>
  <si>
    <t>D-PER-012</t>
  </si>
  <si>
    <t>สลับไปมุมมองปฏิทิน</t>
  </si>
  <si>
    <t>1. กดแท็บ/ปุ่ม Calendar</t>
  </si>
  <si>
    <t>แสดง FullCalendar พร้อมงานที่มีวันที่ และถาดงานที่ยังไม่กำหนดวัน</t>
  </si>
  <si>
    <t>ทำงานได้ถูกต้องตามที่คาดหวัง: แสดง FullCalendar พร้อมงานที่มีวันที่ และถาดงานที่ยังไม่กำหนดวัน</t>
  </si>
  <si>
    <t>D-PER-013</t>
  </si>
  <si>
    <t>ลากงานจากถาดขึ้นปฏิทิน (กำหนดวัน)</t>
  </si>
  <si>
    <t>มีงานไม่มีวันที่</t>
  </si>
  <si>
    <t xml:space="preserve">1. ลากงานจากถาดไปวางบนวันที่ต้องการ
2. รีเฟรช</t>
  </si>
  <si>
    <t>Toast 'ย้ายวันที่กำหนดส่งเรียบร้อยแล้ว' งานอยู่วันที่ถูกต้องหลังรีเฟรช</t>
  </si>
  <si>
    <t>ทำงานได้ถูกต้องตามที่คาดหวัง: Toast 'ย้ายวันที่กำหนดส่งเรียบร้อยแล้ว' งานอยู่วันที่ถูกต้องหลังรีเฟรช</t>
  </si>
  <si>
    <t>D-PER-014</t>
  </si>
  <si>
    <t>ลากงานจากปฏิทินลงถาด (ยกเลิกวัน)</t>
  </si>
  <si>
    <t>มีงานบนปฏิทิน</t>
  </si>
  <si>
    <t>1. ลากงานจากปฏิทินไปวางในถาด</t>
  </si>
  <si>
    <t>งานไม่มีวันที่ อยู่ในถาด และยังอยู่หลังรีเฟรช</t>
  </si>
  <si>
    <t>ทำงานได้ถูกต้องตามที่คาดหวัง: งานไม่มีวันที่ อยู่ในถาด และยังอยู่หลังรีเฟรช</t>
  </si>
  <si>
    <t>D-PER-015</t>
  </si>
  <si>
    <t>ลากงานเปลี่ยนวันบนปฏิทิน</t>
  </si>
  <si>
    <t>1. ลากงานจากวันที่ 10 ไปวันที่ 15</t>
  </si>
  <si>
    <t>วันที่อัปเดตถูกต้อง</t>
  </si>
  <si>
    <t>ทำงานได้ถูกต้องตามที่คาดหวัง: วันที่อัปเดตถูกต้อง</t>
  </si>
  <si>
    <t>D-PER-016</t>
  </si>
  <si>
    <t>คลิกวันที่บนปฏิทินเพื่อเพิ่มงาน</t>
  </si>
  <si>
    <t xml:space="preserve">1. คลิกวันว่างบนปฏิทิน
2. กรอกชื่อ บันทึก</t>
  </si>
  <si>
    <t>Popup เติมวันที่ที่คลิกให้อัตโนมัติ งานแสดงในวันนั้น</t>
  </si>
  <si>
    <t>ทำงานได้ถูกต้องตามที่คาดหวัง: Popup เติมวันที่ที่คลิกให้อัตโนมัติ งานแสดงในวันนั้น</t>
  </si>
  <si>
    <t>D-PER-017</t>
  </si>
  <si>
    <t>ป้ายสถานะวันส่ง Overdue / Due Soon / ปกติ</t>
  </si>
  <si>
    <t>มีงานอดีต, ใกล้ถึง, อนาคต</t>
  </si>
  <si>
    <t>1. ดูป้ายบนการ์ดงาน</t>
  </si>
  <si>
    <t>⚠️ เกินกำหนด สำหรับงานที่เลยวัน, ⏰ ใกล้ครบกำหนด สำหรับงานใกล้ถึง, 📅 ปกติ สำหรับงานอื่น</t>
  </si>
  <si>
    <t>ทำงานได้ถูกต้องตามที่คาดหวัง: ⚠️ เกินกำหนด สำหรับงานที่เลยวัน, ⏰ ใกล้ครบกำหนด สำหรับงานใกล้ถึง, 📅 ปกติ สำหรับงานอื่น</t>
  </si>
  <si>
    <t>D-PER-018</t>
  </si>
  <si>
    <t>วันที่ไม่เลื่อนเพราะ Timezone</t>
  </si>
  <si>
    <t xml:space="preserve">1. สร้างงานวันที่ 01/11/2026
2. รีเฟรช
3. เปิดแก้ไข</t>
  </si>
  <si>
    <t>วันที่ยังเป็น 01/11/2026 ทุกจุด (ไม่เลื่อนเป็น 31/10)</t>
  </si>
  <si>
    <t>ทำงานได้ถูกต้องตามที่คาดหวัง: วันที่ยังเป็น 01/11/2026 ทุกจุด (ไม่เลื่อนเป็น 31/10)</t>
  </si>
  <si>
    <t>D-PER-019</t>
  </si>
  <si>
    <t>เปลี่ยนเดือน/มุมมองปฏิทิน</t>
  </si>
  <si>
    <t xml:space="preserve">1. กดเดือนถัดไป/ก่อนหน้า/วันนี้
2. เปลี่ยนมุมมอง (เดือน/สัปดาห์ ถ้ามี)</t>
  </si>
  <si>
    <t>ปฏิทินแสดงถูกต้อง</t>
  </si>
  <si>
    <t>ทำงานได้ถูกต้องตามที่คาดหวัง: ปฏิทินแสดงถูกต้อง</t>
  </si>
  <si>
    <t>D-PER-020</t>
  </si>
  <si>
    <t>Privacy</t>
  </si>
  <si>
    <t>ผู้ใช้เห็นเฉพาะงานส่วนตัวของตนเอง</t>
  </si>
  <si>
    <t>ผู้ใช้ A และ B มีงานส่วนตัว</t>
  </si>
  <si>
    <t xml:space="preserve">1. ล็อกอินเป็น A ดูงาน
2. ล็อกอินเป็น B ดูงาน</t>
  </si>
  <si>
    <t>A ไม่เห็นงานของ B และกลับกัน</t>
  </si>
  <si>
    <t>ทำงานได้ถูกต้องตามที่คาดหวัง: A ไม่เห็นงานของ B และกลับกัน</t>
  </si>
  <si>
    <t>D-PER-021</t>
  </si>
  <si>
    <t>XSS ในชื่องานส่วนตัว</t>
  </si>
  <si>
    <t xml:space="preserve">1. สร้างงานชื่อ &lt;img src=x onerror=alert(1)&gt;
2. เปิดแก้ไขงาน</t>
  </si>
  <si>
    <t>แสดงเป็นข้อความ ไม่มี script ทำงาน</t>
  </si>
  <si>
    <t>ทำงานได้ถูกต้องตามที่คาดหวัง: แสดงเป็นข้อความ ไม่มี script ทำงาน</t>
  </si>
  <si>
    <t>D-PRF-001</t>
  </si>
  <si>
    <t>แสดงข้อมูลโปรไฟล์</t>
  </si>
  <si>
    <t>1. เปิด /Profile</t>
  </si>
  <si>
    <t>แสดงรูป, ชื่อ, อีเมล, เบอร์, Role, Leader ถูกต้อง</t>
  </si>
  <si>
    <t>ทำงานได้ถูกต้องตามที่คาดหวัง: แสดงรูป, ชื่อ, อีเมล, เบอร์, Role, Leader ถูกต้อง</t>
  </si>
  <si>
    <t>D-PRF-002</t>
  </si>
  <si>
    <t>แก้ไขชื่อและเบอร์โทร</t>
  </si>
  <si>
    <t xml:space="preserve">1. แก้ชื่อ-นามสกุล และเบอร์
2. กดบันทึก</t>
  </si>
  <si>
    <t>แสดง 'อัปเดตโปรไฟล์สำเร็จ!' ชื่อบน Header อัปเดต</t>
  </si>
  <si>
    <t>ทำงานได้ถูกต้องตามที่คาดหวัง: แสดง 'อัปเดตโปรไฟล์สำเร็จ!' ชื่อบน Header อัปเดต</t>
  </si>
  <si>
    <t>D-PRF-003</t>
  </si>
  <si>
    <t>ลบชื่อให้ว่างแล้วบันทึก</t>
  </si>
  <si>
    <t xml:space="preserve">1. ลบชื่อทั้งหมด
2. บันทึก</t>
  </si>
  <si>
    <t>แสดง Warning 'กรุณากรอกชื่อ-นามสกุล'</t>
  </si>
  <si>
    <t>ทำงานได้ถูกต้องตามที่คาดหวัง: แสดง Warning 'กรุณากรอกชื่อ-นามสกุล'</t>
  </si>
  <si>
    <t>D-PRF-004</t>
  </si>
  <si>
    <t>เปลี่ยนอีเมลให้ซ้ำผู้อื่น</t>
  </si>
  <si>
    <t>ช่องอีเมลแก้ไขได้</t>
  </si>
  <si>
    <t>D-PRF-005</t>
  </si>
  <si>
    <t>Avatar</t>
  </si>
  <si>
    <t>เปลี่ยนรูปโปรไฟล์</t>
  </si>
  <si>
    <t xml:space="preserve">1. เลือกรูปใหม่
2. ดู preview
3. บันทึก
4. รีเฟรช</t>
  </si>
  <si>
    <t>รูป jpg/png</t>
  </si>
  <si>
    <t>รูปใหม่แสดงในหน้า Profile และ Header หลังบันทึก รูปเก่าถูกแทนที่</t>
  </si>
  <si>
    <t>ทำงานได้ถูกต้องตามที่คาดหวัง: รูปใหม่แสดงในหน้า Profile และ Header หลังบันทึก รูปเก่าถูกแทนที่</t>
  </si>
  <si>
    <t>D-PRF-006</t>
  </si>
  <si>
    <t>เลือกหัวหน้าสายตรง (Leader)</t>
  </si>
  <si>
    <t xml:space="preserve">1. เลือก Leader จากรายการ
2. บันทึก</t>
  </si>
  <si>
    <t>Leader ถูกบันทึกและแสดงในหน้า Manage Users</t>
  </si>
  <si>
    <t>ทำงานได้ถูกต้องตามที่คาดหวัง: Leader ถูกบันทึกและแสดงในหน้า Manage Users</t>
  </si>
  <si>
    <t>D-PRF-007</t>
  </si>
  <si>
    <t>Password</t>
  </si>
  <si>
    <t>เปลี่ยนรหัสผ่านโดยไม่กรอกรหัสปัจจุบัน</t>
  </si>
  <si>
    <t xml:space="preserve">1. กรอกรหัสใหม่และยืนยัน
2. เว้นรหัสปัจจุบัน
3. บันทึก</t>
  </si>
  <si>
    <t>แสดง Warning 'กรุณาระบุรหัสผ่านปัจจุบัน'</t>
  </si>
  <si>
    <t>ทำงานได้ถูกต้องตามที่คาดหวัง: แสดง Warning 'กรุณาระบุรหัสผ่านปัจจุบัน'</t>
  </si>
  <si>
    <t>D-PRF-008</t>
  </si>
  <si>
    <t>รหัสใหม่และยืนยันไม่ตรงกัน</t>
  </si>
  <si>
    <t xml:space="preserve">1. กรอกรหัสปัจจุบัน
2. รหัสใหม่/ยืนยันไม่ตรง
3. บันทึก</t>
  </si>
  <si>
    <t>แสดง Warning 'รหัสผ่านไม่ตรงกัน'</t>
  </si>
  <si>
    <t>ทำงานได้ถูกต้องตามที่คาดหวัง: แสดง Warning 'รหัสผ่านไม่ตรงกัน'</t>
  </si>
  <si>
    <t>D-PRF-009</t>
  </si>
  <si>
    <t>รหัสผ่านปัจจุบันผิด</t>
  </si>
  <si>
    <t xml:space="preserve">1. กรอกรหัสปัจจุบันผิด
2. รหัสใหม่ถูกต้อง
3. บันทึก</t>
  </si>
  <si>
    <t>แสดง Error 'รหัสผ่านปัจจุบันไม่ถูกต้อง'</t>
  </si>
  <si>
    <t>ทำงานได้ถูกต้องตามที่คาดหวัง: แสดง Error 'รหัสผ่านปัจจุบันไม่ถูกต้อง'</t>
  </si>
  <si>
    <t>D-PRF-010</t>
  </si>
  <si>
    <t>เปลี่ยนรหัสผ่านสำเร็จ</t>
  </si>
  <si>
    <t xml:space="preserve">1. กรอกรหัสปัจจุบันถูก, รหัสใหม่และยืนยันตรงกัน
2. บันทึก
3. ออกจากระบบ
4. ล็อกอินด้วยรหัสใหม่</t>
  </si>
  <si>
    <t>บันทึกสำเร็จ ช่องรหัสผ่านถูกล้าง ล็อกอินด้วยรหัสใหม่ได้ รหัสเก่าใช้ไม่ได้</t>
  </si>
  <si>
    <t>ทำงานได้ถูกต้องตามที่คาดหวัง: บันทึกสำเร็จ ช่องรหัสผ่านถูกล้าง ล็อกอินด้วยรหัสใหม่ได้ รหัสเก่าใช้ไม่ได้</t>
  </si>
  <si>
    <t>D-ACT-001</t>
  </si>
  <si>
    <t>My Activity</t>
  </si>
  <si>
    <t>แสดงประวัติกิจกรรมของตนเอง</t>
  </si>
  <si>
    <t>ผู้ใช้เคยล็อกอิน/แก้ไขข้อมูล</t>
  </si>
  <si>
    <t>1. เปิด /MyActivity</t>
  </si>
  <si>
    <t>แสดงกิจกรรมของตนเอง (Login, Logout, Update Profile, Reset Password ฯลฯ) พร้อมวันเวลา</t>
  </si>
  <si>
    <t>ทำงานได้ถูกต้องตามที่คาดหวัง: แสดงกิจกรรมของตนเอง (Login, Logout, Update Profile, Reset Password ฯลฯ) พร้อมวันเวลา</t>
  </si>
  <si>
    <t>D-ACT-002</t>
  </si>
  <si>
    <t>กรองหมวดหมู่และค้นหา</t>
  </si>
  <si>
    <t xml:space="preserve">1. เลือก ทั้งหมด / เกี่ยวกับผู้ใช้ / เกี่ยวกับโปรเจกต์ / ระบบ
2. พิมพ์ค้นหา</t>
  </si>
  <si>
    <t>แสดงผลตามตัวกรองถูกต้อง</t>
  </si>
  <si>
    <t>ทำงานได้ถูกต้องตามที่คาดหวัง: แสดงผลตามตัวกรองถูกต้อง</t>
  </si>
  <si>
    <t>D-ACT-003</t>
  </si>
  <si>
    <t>มีกิจกรรมจำนวนมาก</t>
  </si>
  <si>
    <t>1. เปลี่ยนหน้า</t>
  </si>
  <si>
    <t>แสดงข้อมูลแต่ละหน้าถูกต้อง</t>
  </si>
  <si>
    <t>ทำงานได้ถูกต้องตามที่คาดหวัง: แสดงข้อมูลแต่ละหน้าถูกต้อง</t>
  </si>
  <si>
    <t>D-ACT-004</t>
  </si>
  <si>
    <t>/ActivityLogs แสดงหน้าเดียวกับ /MyActivity</t>
  </si>
  <si>
    <t>1. เปิด /ActivityLogs</t>
  </si>
  <si>
    <t>แสดงหน้า My Activity</t>
  </si>
  <si>
    <t>ทำงานได้ถูกต้องตามที่คาดหวัง: แสดงหน้า My Activity</t>
  </si>
  <si>
    <t>D-ACT-005</t>
  </si>
  <si>
    <t>Admin ดูประวัติกิจกรรมทั้งระบบ</t>
  </si>
  <si>
    <t>1. เปิด /Activity</t>
  </si>
  <si>
    <t>แสดงกิจกรรมของผู้ใช้ทุกคน พร้อมชื่อผู้ใช้ การกระทำ รายละเอียด เวลา</t>
  </si>
  <si>
    <t>ทำงานได้ถูกต้องตามที่คาดหวัง: แสดงกิจกรรมของผู้ใช้ทุกคน พร้อมชื่อผู้ใช้ การกระทำ รายละเอียด เวลา</t>
  </si>
  <si>
    <t>D-ACT-006</t>
  </si>
  <si>
    <t>กรอง/ค้นหาประวัติกิจกรรมทั้งระบบ</t>
  </si>
  <si>
    <t xml:space="preserve">1. เลือกหมวดหมู่
2. ค้นหาด้วยชื่อผู้ใช้/การกระทำ</t>
  </si>
  <si>
    <t>แสดงผลตามเงื่อนไข</t>
  </si>
  <si>
    <t>ทำงานได้ถูกต้องตามที่คาดหวัง: แสดงผลตามเงื่อนไข</t>
  </si>
  <si>
    <t>D-ACT-007</t>
  </si>
  <si>
    <t>Logging</t>
  </si>
  <si>
    <t>การกระทำสำคัญถูกบันทึก</t>
  </si>
  <si>
    <t xml:space="preserve">1. สร้าง/แก้ไข/ลบผู้ใช้, โปรเจกต์, งาน, นำเข้าผู้ใช้
2. เปิด /Activity</t>
  </si>
  <si>
    <t>ทุกการกระทำมีบันทึกถูกต้อง ระบุผู้กระทำ</t>
  </si>
  <si>
    <t>ทำงานได้ถูกต้องตามที่คาดหวัง: ทุกการกระทำมีบันทึกถูกต้อง ระบุผู้กระทำ</t>
  </si>
  <si>
    <t>D-RPT-001</t>
  </si>
  <si>
    <t>Admin เปิดรายงาน - มุมมองเริ่มต้น Admin</t>
  </si>
  <si>
    <t>1. เปิด /Reports</t>
  </si>
  <si>
    <t>แสดงรายงานภาพรวมทั้งระบบ มีตัวสลับมุมมอง Admin / Manager / Team Leader / User</t>
  </si>
  <si>
    <t>ทำงานได้ถูกต้องตามที่คาดหวัง: แสดงรายงานภาพรวมทั้งระบบ มีตัวสลับมุมมอง Admin / Manager / Team Leader / User</t>
  </si>
  <si>
    <t>D-RPT-002</t>
  </si>
  <si>
    <t>PM เปิดรายงาน</t>
  </si>
  <si>
    <t xml:space="preserve">1. เปิด /Reports
2. สลับมุมมอง</t>
  </si>
  <si>
    <t>เริ่มต้นที่ Manager view สลับได้ Manager / Team Leader / User (ไม่มี Admin)</t>
  </si>
  <si>
    <t>ทำงานได้ถูกต้องตามที่คาดหวัง: เริ่มต้นที่ Manager view สลับได้ Manager / Team Leader / User (ไม่มี Admin)</t>
  </si>
  <si>
    <t>D-RPT-003</t>
  </si>
  <si>
    <t>ผู้ใช้ที่เป็น/เคยเป็น Team Leader เปิดรายงาน</t>
  </si>
  <si>
    <t>Member ที่เป็น TL ของโปรเจกต์</t>
  </si>
  <si>
    <t>สลับได้ระหว่าง Team Leader / User เท่านั้น</t>
  </si>
  <si>
    <t>ทำงานได้ถูกต้องตามที่คาดหวัง: สลับได้ระหว่าง Team Leader / User เท่านั้น</t>
  </si>
  <si>
    <t>D-RPT-004</t>
  </si>
  <si>
    <t>Member ทั่วไปเปิดรายงาน</t>
  </si>
  <si>
    <t>Member ไม่เคยเป็น TL</t>
  </si>
  <si>
    <t>แสดงเฉพาะ User view (สถิติของตนเอง) ไม่มีตัวสลับมุมมอง</t>
  </si>
  <si>
    <t>ทำงานได้ถูกต้องตามที่คาดหวัง: แสดงเฉพาะ User view (สถิติของตนเอง) ไม่มีตัวสลับมุมมอง</t>
  </si>
  <si>
    <t>D-RPT-005</t>
  </si>
  <si>
    <t>Data</t>
  </si>
  <si>
    <t>ตัวเลขสถิติในรายงานถูกต้อง</t>
  </si>
  <si>
    <t>มีข้อมูลที่รู้ผลล่วงหน้า</t>
  </si>
  <si>
    <t>1. เทียบตัวเลขการ์ด/กราฟ/ตาราง กับข้อมูลจริงในแต่ละมุมมอง</t>
  </si>
  <si>
    <t>ตัวเลขตรงกับข้อมูลในระบบทุกมุมมอง</t>
  </si>
  <si>
    <t>ทำงานได้ถูกต้องตามที่คาดหวัง: ตัวเลขตรงกับข้อมูลในระบบทุกมุมมอง</t>
  </si>
  <si>
    <t>D-RPT-006</t>
  </si>
  <si>
    <t>Table</t>
  </si>
  <si>
    <t>ตารางในรายงาน: แบ่งหน้า 10/25/50</t>
  </si>
  <si>
    <t xml:space="preserve">1. เปลี่ยนจำนวนแถว
2. เปลี่ยนหน้า</t>
  </si>
  <si>
    <t>D-RPT-007</t>
  </si>
  <si>
    <t>กรองสถานะในตารางรายงาน</t>
  </si>
  <si>
    <t>1. เลือก ทุกสถานะ / Pending / In Progress / Review / Completed</t>
  </si>
  <si>
    <t>แสดงงานตามสถานะ</t>
  </si>
  <si>
    <t>ทำงานได้ถูกต้องตามที่คาดหวัง: แสดงงานตามสถานะ</t>
  </si>
  <si>
    <t>D-RPT-008</t>
  </si>
  <si>
    <t>กรองประเภทงานใน User view</t>
  </si>
  <si>
    <t>1. เลือกประเภท แปล/สตอรี่บอร์ด/ออกแบบ/อนิเมชัน/ตัดต่อ/พัฒนาโปรแกรม/อื่นๆ</t>
  </si>
  <si>
    <t>แสดงงานตามประเภท</t>
  </si>
  <si>
    <t>ทำงานได้ถูกต้องตามที่คาดหวัง: แสดงงานตามประเภท</t>
  </si>
  <si>
    <t>D-RPT-009</t>
  </si>
  <si>
    <t>Export รายงานเป็น Excel</t>
  </si>
  <si>
    <t xml:space="preserve">1. กดปุ่ม Export Excel ในแต่ละมุมมอง
2. เปิดไฟล์</t>
  </si>
  <si>
    <t>ดาวน์โหลดไฟล์ .xlsx ได้ เปิดได้ ข้อมูลตรงกับมุมมองที่เลือก ภาษาไทยไม่เพี้ยน</t>
  </si>
  <si>
    <t>ทำงานได้ถูกต้องตามที่คาดหวัง: ดาวน์โหลดไฟล์ .xlsx ได้ เปิดได้ ข้อมูลตรงกับมุมมองที่เลือก ภาษาไทยไม่เพี้ยน</t>
  </si>
  <si>
    <t>D-RPT-010</t>
  </si>
  <si>
    <t>Print</t>
  </si>
  <si>
    <t>พิมพ์รายงาน</t>
  </si>
  <si>
    <t xml:space="preserve">1. กดปุ่ม Print
2. ดู Print preview</t>
  </si>
  <si>
    <t>Layout สำหรับพิมพ์อ่านได้ ไม่ตัดเนื้อหา กราฟแสดงผล</t>
  </si>
  <si>
    <t>ทำงานได้ถูกต้องตามที่คาดหวัง: Layout สำหรับพิมพ์อ่านได้ ไม่ตัดเนื้อหา กราฟแสดงผล</t>
  </si>
  <si>
    <t>D-RPT-011</t>
  </si>
  <si>
    <t>ปุ่มรีเฟรชข้อมูล</t>
  </si>
  <si>
    <t xml:space="preserve">1. เปลี่ยนข้อมูลในระบบ
2. กดรีเฟรชในหน้ารายงาน</t>
  </si>
  <si>
    <t>ข้อมูลอัปเดตเป็นล่าสุด</t>
  </si>
  <si>
    <t>ทำงานได้ถูกต้องตามที่คาดหวัง: ข้อมูลอัปเดตเป็นล่าสุด</t>
  </si>
  <si>
    <t>D-RPT-012</t>
  </si>
  <si>
    <t>กราฟในรายงาน</t>
  </si>
  <si>
    <t>1. Hover/แตะกราฟแต่ละแบบ</t>
  </si>
  <si>
    <t>Tooltip แสดงค่าถูกต้อง Legend อ่านได้ทั้ง Light/Dark</t>
  </si>
  <si>
    <t>ทำงานได้ถูกต้องตามที่คาดหวัง: Tooltip แสดงค่าถูกต้อง Legend อ่านได้ทั้ง Light/Dark</t>
  </si>
  <si>
    <t>D-RPT-013</t>
  </si>
  <si>
    <t>รายงานเมื่อไม่มีข้อมูล</t>
  </si>
  <si>
    <t>แสดงค่า 0/สถานะว่าง ไม่มี error หรือ NaN</t>
  </si>
  <si>
    <t>ทำงานได้ถูกต้องตามที่คาดหวัง: แสดงค่า 0/สถานะว่าง ไม่มี error หรือ NaN</t>
  </si>
  <si>
    <t>D-EML-001</t>
  </si>
  <si>
    <t>แจ้งเตือนงานเกินกำหนดอัตโนมัติ (Cron)</t>
  </si>
  <si>
    <t>มีงานเลยวันส่งและยังไม่เสร็จ</t>
  </si>
  <si>
    <t xml:space="preserve">1. รอรอบ Cron ทำงาน (หรือเรียก endpoint ตรวจ overdue)
2. TL ตรวจอีเมลและกระดิ่ง</t>
  </si>
  <si>
    <t>TL ได้รับอีเมลรายการงานเกินกำหนด และไม่ได้รับซ้ำในรอบเดียวกัน</t>
  </si>
  <si>
    <t>ทำงานได้ถูกต้องตามที่คาดหวัง: TL ได้รับอีเมลรายการงานเกินกำหนด และไม่ได้รับซ้ำในรอบเดียวกัน</t>
  </si>
  <si>
    <t>D-EML-002</t>
  </si>
  <si>
    <t>อีเมลแสดงผลถูกต้องในหลาย client</t>
  </si>
  <si>
    <t>1. เปิดอีเมลจากระบบใน Gmail, Outlook, แอปมือถือ</t>
  </si>
  <si>
    <t>Layout อ่านได้ ภาษาไทยไม่เพี้ยน ลิงก์ทำงาน</t>
  </si>
  <si>
    <t>ทำงานได้ถูกต้องตามที่คาดหวัง: Layout อ่านได้ ภาษาไทยไม่เพี้ยน ลิงก์ทำงาน</t>
  </si>
  <si>
    <t>D-EML-003</t>
  </si>
  <si>
    <t>ระบบยังทำงานได้เมื่อส่งอีเมลล้มเหลว</t>
  </si>
  <si>
    <t>ตั้งค่า email provider ผิด (env ทดสอบ)</t>
  </si>
  <si>
    <t>1. สร้างโปรเจกต์/ขอ OTP</t>
  </si>
  <si>
    <t>การสร้างโปรเจกต์ไม่ล้มเหลวเพราะอีเมล; OTP แจ้ง error ที่เข้าใจได้</t>
  </si>
  <si>
    <t>ทำงานได้ถูกต้องตามที่คาดหวัง: การสร้างโปรเจกต์ไม่ล้มเหลวเพราะอีเมล; OTP แจ้ง error ที่เข้าใจได้</t>
  </si>
  <si>
    <t>D-SEC-001</t>
  </si>
  <si>
    <t>API</t>
  </si>
  <si>
    <t>เรียก API ที่ต้องใช้ Token โดยไม่มี Token</t>
  </si>
  <si>
    <t>1. เรียก GET /auth/users, /auth/projects ด้วย Postman โดยไม่ใส่ Authorization</t>
  </si>
  <si>
    <t>ได้ 401 Unauthorized</t>
  </si>
  <si>
    <t>เมื่อเรียก API ที่ป้องกันด้วย verifyToken โดยไม่ส่ง Authorization Header หรือ Cookie ระบบตอบกลับ HTTP 401 Unauthorized ("Access denied: Token required")</t>
  </si>
  <si>
    <t>ป้องกันทุก Protected Endpoint ใน authRoutes.js</t>
  </si>
  <si>
    <t>D-SEC-002</t>
  </si>
  <si>
    <t>Member เรียก API ของ Admin</t>
  </si>
  <si>
    <t>มี token ของ Member</t>
  </si>
  <si>
    <t>1. เรียก POST /auth/users, DELETE /auth/users/:id, POST /auth/users/import, GET /auth/activity-logs</t>
  </si>
  <si>
    <t>ได้ 403 Forbidden ไม่มีการเปลี่ยนแปลงข้อมูล</t>
  </si>
  <si>
    <t>เมื่อ Member เรียก API ของ Admin (POST /auth/users, DELETE /auth/users/:id, POST /auth/users/import, GET /auth/activity-logs ทั้งระบบ) ระบบตอบกลับ HTTP 403 Forbidden</t>
  </si>
  <si>
    <t>ตรวจสอบ Role จริงจากฐานข้อมูลใน authController.js</t>
  </si>
  <si>
    <t>D-SEC-003</t>
  </si>
  <si>
    <t>Member แก้ไขข้อมูลผู้ใช้อื่นผ่าน API</t>
  </si>
  <si>
    <t>1. PUT /auth/users/{id ของคนอื่น} เปลี่ยน role เป็น admin</t>
  </si>
  <si>
    <t>ถูกปฏิเสธ ไม่สามารถยกระดับสิทธิ์ตัวเองหรือแก้ผู้อื่น</t>
  </si>
  <si>
    <t>เมื่อ Member เรียก PUT /auth/users/:id ของผู้อื่น ระบบตอบกลับ 403 Forbidden และหากแก้ไขตัวเองจะถูกล็อกค่า role และ status เดิม ไม่สามารถยกระดับสิทธิ์เป็น Admin ได้</t>
  </si>
  <si>
    <t>ป้องกัน Privilege Escalation และ IDOR ครบถ้วน</t>
  </si>
  <si>
    <t>D-SEC-004</t>
  </si>
  <si>
    <t>Token ปลอม/หมดอายุ</t>
  </si>
  <si>
    <t>1. เรียก API ด้วย token ที่แก้ไขหรือหมดอายุ</t>
  </si>
  <si>
    <t>ได้ 401 และ frontend พาไปหน้า login</t>
  </si>
  <si>
    <t>ทำงานได้ถูกต้องตามที่คาดหวัง: ได้ 401 และ frontend พาไปหน้า login</t>
  </si>
  <si>
    <t>D-SEC-005</t>
  </si>
  <si>
    <t>Headers</t>
  </si>
  <si>
    <t>Security headers (Helmet)</t>
  </si>
  <si>
    <t>1. ตรวจ Response headers ของ API</t>
  </si>
  <si>
    <t>มี X-Content-Type-Options, X-Frame-Options/CSP ฯลฯ</t>
  </si>
  <si>
    <t>ทำงานได้ถูกต้องตามที่คาดหวัง: มี X-Content-Type-Options, X-Frame-Options/CSP ฯลฯ</t>
  </si>
  <si>
    <t>D-SEC-006</t>
  </si>
  <si>
    <t>CORS</t>
  </si>
  <si>
    <t>CORS ปฏิเสธ origin ที่ไม่ได้อนุญาต</t>
  </si>
  <si>
    <t>1. เรียก API จากโดเมนอื่นผ่านเบราว์เซอร์</t>
  </si>
  <si>
    <t>ถูกบล็อกโดย CORS</t>
  </si>
  <si>
    <t>ทำงานได้ถูกต้องตามที่คาดหวัง: ถูกบล็อกโดย CORS</t>
  </si>
  <si>
    <t>D-SEC-007</t>
  </si>
  <si>
    <t>Upload</t>
  </si>
  <si>
    <t>อัปโหลดไฟล์อันตราย</t>
  </si>
  <si>
    <t>1. อัปโหลดไฟล์ .exe/.html/.svg ที่มี script เป็นไฟล์แนบ/avatar</t>
  </si>
  <si>
    <t>ระบบปฏิเสธหรือจัดเก็บอย่างปลอดภัย ไม่รัน script เมื่อเปิด</t>
  </si>
  <si>
    <t>ทำงานได้ถูกต้องตามที่คาดหวัง: ระบบปฏิเสธหรือจัดเก็บอย่างปลอดภัย ไม่รัน script เมื่อเปิด</t>
  </si>
  <si>
    <t>D-SEC-008</t>
  </si>
  <si>
    <t>Performance</t>
  </si>
  <si>
    <t>เวลาโหลดหน้าหลัก</t>
  </si>
  <si>
    <t>เครือข่ายปกติ</t>
  </si>
  <si>
    <t>1. วัดเวลาโหลด Dashboard, Projects, Reports ด้วย DevTools/Lighthouse</t>
  </si>
  <si>
    <t>โหลดเสร็จภายใน ~3 วินาที ไม่มี request ค้าง</t>
  </si>
  <si>
    <t>ทำงานได้ถูกต้องตามที่คาดหวัง: โหลดเสร็จภายใน ~3 วินาที ไม่มี request ค้าง</t>
  </si>
  <si>
    <t>D-SEC-009</t>
  </si>
  <si>
    <t>ข้อมูลจำนวนมาก</t>
  </si>
  <si>
    <t>มีผู้ใช้ 500+, งาน 1,000+</t>
  </si>
  <si>
    <t>1. เปิด Manage Users, All Tasks, Reports</t>
  </si>
  <si>
    <t>หน้าตอบสนองได้ ไม่ค้าง การค้นหา/กรองยังเร็ว</t>
  </si>
  <si>
    <t>ทำงานได้ถูกต้องตามที่คาดหวัง: หน้าตอบสนองได้ ไม่ค้าง การค้นหา/กรองยังเร็ว</t>
  </si>
  <si>
    <t>D-SEC-010</t>
  </si>
  <si>
    <t>Network</t>
  </si>
  <si>
    <t>Reliability</t>
  </si>
  <si>
    <t>เซิร์ฟเวอร์/อินเทอร์เน็ตขาดระหว่างใช้งาน</t>
  </si>
  <si>
    <t xml:space="preserve">1. ตัดเน็ต (DevTools Offline)
2. พยายามบันทึกข้อมูล
3. ต่อเน็ตกลับ</t>
  </si>
  <si>
    <t>แสดงข้อความผิดพลาดที่เข้าใจได้ ไม่ค้าง และ socket เชื่อมต่อใหม่อัตโนมัติ</t>
  </si>
  <si>
    <t>ทำงานได้ถูกต้องตามที่คาดหวัง: แสดงข้อความผิดพลาดที่เข้าใจได้ ไม่ค้าง และ socket เชื่อมต่อใหม่อัตโนมัติ</t>
  </si>
  <si>
    <t>D-SEC-011</t>
  </si>
  <si>
    <t>Console</t>
  </si>
  <si>
    <t>Quality</t>
  </si>
  <si>
    <t>ไม่มี error ใน Console</t>
  </si>
  <si>
    <t>1. เปิด DevTools Console ขณะใช้งานทุกหน้า</t>
  </si>
  <si>
    <t>ไม่มี error สีแดง (warning ยอมรับได้)</t>
  </si>
  <si>
    <t>ทำงานได้ถูกต้องตามที่คาดหวัง: ไม่มี error สีแดง (warning ยอมรับได้)</t>
  </si>
  <si>
    <t>D-DUI-001</t>
  </si>
  <si>
    <t>Browser</t>
  </si>
  <si>
    <t>Compatibility</t>
  </si>
  <si>
    <t>ใช้งานบน Google Chrome (ล่าสุด)</t>
  </si>
  <si>
    <t>1. รัน Smoke test หลัก: Login, Dashboard, Projects, Task, Personal Task, Reports</t>
  </si>
  <si>
    <t>ทำงานถูกต้องและแสดงผลครบ</t>
  </si>
  <si>
    <t>ทดสอบบน Desktop (ใช้งานบน Google Chrome (ล่าสุด)) ทำงานได้ถูกต้อง: ทำงานถูกต้องและแสดงผลครบ</t>
  </si>
  <si>
    <t>Desktop UI &amp; Compatibility ผ่านเกณฑ์</t>
  </si>
  <si>
    <t>D-DUI-002</t>
  </si>
  <si>
    <t>ใช้งานบน Microsoft Edge (ล่าสุด)</t>
  </si>
  <si>
    <t>1. รัน Smoke test หลัก</t>
  </si>
  <si>
    <t>ทดสอบบน Desktop (ใช้งานบน Microsoft Edge (ล่าสุด)) ทำงานได้ถูกต้อง: ทำงานถูกต้องและแสดงผลครบ</t>
  </si>
  <si>
    <t>D-DUI-003</t>
  </si>
  <si>
    <t>ใช้งานบน Mozilla Firefox (ล่าสุด)</t>
  </si>
  <si>
    <t xml:space="preserve">1. รัน Smoke test หลัก
2. ทดสอบ date picker และ drag &amp; drop</t>
  </si>
  <si>
    <t>ทำงานถูกต้อง date picker/drag ใช้ได้</t>
  </si>
  <si>
    <t>ทดสอบบน Desktop (ใช้งานบน Mozilla Firefox (ล่าสุด)) ทำงานได้ถูกต้อง: ทำงานถูกต้อง date picker/drag ใช้ได้</t>
  </si>
  <si>
    <t>D-DUI-004</t>
  </si>
  <si>
    <t>ใช้งานบน Safari (macOS)</t>
  </si>
  <si>
    <t xml:space="preserve">1. รัน Smoke test หลัก
2. ทดสอบ date picker, ดาวน์โหลด Excel</t>
  </si>
  <si>
    <t>ทำงานถูกต้อง</t>
  </si>
  <si>
    <t>ทดสอบบน Desktop (ใช้งานบน Safari (macOS)) ทำงานได้ถูกต้อง: ทำงานถูกต้อง</t>
  </si>
  <si>
    <t>D-DUI-005</t>
  </si>
  <si>
    <t>Resolution</t>
  </si>
  <si>
    <t>ความละเอียด 1920×1080</t>
  </si>
  <si>
    <t>1. เปิดทุกหน้าหลักที่ 1920×1080</t>
  </si>
  <si>
    <t>Layout สมดุล ไม่มีช่องว่างผิดปกติ เนื้อหาอยู่กลาง (max-width)</t>
  </si>
  <si>
    <t>ทดสอบบน Desktop (ความละเอียด 1920×1080) ทำงานได้ถูกต้อง: Layout สมดุล ไม่มีช่องว่างผิดปกติ เนื้อหาอยู่กลาง (max-width)</t>
  </si>
  <si>
    <t>D-DUI-006</t>
  </si>
  <si>
    <t>ความละเอียด 1366×768 / 1280×720 (Laptop)</t>
  </si>
  <si>
    <t>1. เปิดทุกหน้าหลัก</t>
  </si>
  <si>
    <t>เมนูบน Header ไม่ล้น/ไม่ซ้อน ตารางอ่านได้ Modal ไม่ล้นจอ</t>
  </si>
  <si>
    <t>ทดสอบบน Desktop (ความละเอียด 1366×768 / 1280×720 (Laptop)) ทำงานได้ถูกต้อง: เมนูบน Header ไม่ล้น/ไม่ซ้อน ตารางอ่านได้ Modal ไม่ล้นจอ</t>
  </si>
  <si>
    <t>D-DUI-007</t>
  </si>
  <si>
    <t>จอใหญ่ 2560×1440 ขึ้นไป</t>
  </si>
  <si>
    <t>Layout ไม่ยืดจนอ่านยาก</t>
  </si>
  <si>
    <t>ทดสอบบน Desktop (จอใหญ่ 2560×1440 ขึ้นไป) ทำงานได้ถูกต้อง: Layout ไม่ยืดจนอ่านยาก</t>
  </si>
  <si>
    <t>D-DUI-008</t>
  </si>
  <si>
    <t>Zoom</t>
  </si>
  <si>
    <t>ซูมเบราว์เซอร์ 80% - 150%</t>
  </si>
  <si>
    <t>1. Ctrl + / Ctrl - ในหน้าหลัก</t>
  </si>
  <si>
    <t>Layout ปรับตามได้ ไม่มีองค์ประกอบซ้อนทับ</t>
  </si>
  <si>
    <t>ทดสอบบน Desktop (ซูมเบราว์เซอร์ 80% - 150%) ทำงานได้ถูกต้อง: Layout ปรับตามได้ ไม่มีองค์ประกอบซ้อนทับ</t>
  </si>
  <si>
    <t>D-DUI-009</t>
  </si>
  <si>
    <t>Resize</t>
  </si>
  <si>
    <t>Responsive</t>
  </si>
  <si>
    <t>ย่อหน้าต่างให้แคบกว่า 768px</t>
  </si>
  <si>
    <t>1. ลากย่อความกว้างหน้าต่างทีละน้อย</t>
  </si>
  <si>
    <t>เมื่อ &lt; 768px เมนูหลักหายและแสดงปุ่ม Hamburger แทน, ขยายกลับแล้วเมนูกลับมา</t>
  </si>
  <si>
    <t>ทดสอบบน Desktop (ย่อหน้าต่างให้แคบกว่า 768px) ทำงานได้ถูกต้อง: เมื่อ &lt; 768px เมนูหลักหายและแสดงปุ่ม Hamburger แทน, ขยายกลับแล้วเมนูกลับมา</t>
  </si>
  <si>
    <t>D-DUI-010</t>
  </si>
  <si>
    <t>Hover</t>
  </si>
  <si>
    <t>Hover effect บนเมนู ปุ่ม การ์ด</t>
  </si>
  <si>
    <t>1. นำเมาส์ชี้เมนู ปุ่ม การ์ดโปรเจกต์</t>
  </si>
  <si>
    <t>มี hover effect และ cursor เป็นรูปมือในจุดที่คลิกได้</t>
  </si>
  <si>
    <t>ทดสอบบน Desktop (Hover effect บนเมนู ปุ่ม การ์ด) ทำงานได้ถูกต้อง: มี hover effect และ cursor เป็นรูปมือในจุดที่คลิกได้</t>
  </si>
  <si>
    <t>D-DUI-011</t>
  </si>
  <si>
    <t>Keyboard</t>
  </si>
  <si>
    <t>Accessibility</t>
  </si>
  <si>
    <t>ใช้งานด้วยคีย์บอร์ด (Tab/Enter)</t>
  </si>
  <si>
    <t xml:space="preserve">1. ใช้ Tab เลื่อนผ่านฟอร์ม Login, Create Project
2. กด Enter เพื่อส่ง</t>
  </si>
  <si>
    <t>ลำดับ focus สมเหตุสมผล มี focus ring และส่งฟอร์มได้</t>
  </si>
  <si>
    <t>ทดสอบบน Desktop (ใช้งานด้วยคีย์บอร์ด (Tab/Enter)) ทำงานได้ถูกต้อง: ลำดับ focus สมเหตุสมผล มี focus ring และส่งฟอร์มได้</t>
  </si>
  <si>
    <t>D-DUI-012</t>
  </si>
  <si>
    <t>กด ESC ปิด Modal</t>
  </si>
  <si>
    <t>เปิด Modal ต่างๆ (ยกเว้น Session timeout)</t>
  </si>
  <si>
    <t>1. กด ESC</t>
  </si>
  <si>
    <t>Modal ทั่วไปปิดได้ (บันทึกผลแต่ละ Modal)</t>
  </si>
  <si>
    <t>ทดสอบบน Desktop (กด ESC ปิด Modal) ทำงานได้ถูกต้อง: Modal ทั่วไปปิดได้</t>
  </si>
  <si>
    <t>D-DUI-013</t>
  </si>
  <si>
    <t>Mouse DnD</t>
  </si>
  <si>
    <t>Drag &amp; Drop ด้วยเมาส์ (Kanban + Calendar)</t>
  </si>
  <si>
    <t>มีงานส่วนตัว</t>
  </si>
  <si>
    <t xml:space="preserve">1. ลากการ์ดระหว่างคอลัมน์
2. ลากงานถาด ↔ ปฏิทิน</t>
  </si>
  <si>
    <t>ลากได้ลื่น มี placeholder แสดงตำแหน่งวาง</t>
  </si>
  <si>
    <t>ทดสอบบน Desktop (Drag &amp; Drop ด้วยเมาส์ (Kanban + Calendar)) ทำงานได้ถูกต้อง: ลากได้ลื่น มี placeholder แสดงตำแหน่งวาง</t>
  </si>
  <si>
    <t>D-DUI-014</t>
  </si>
  <si>
    <t>ตารางกว้าง (Manage Users / All Tasks / Reports)</t>
  </si>
  <si>
    <t>1. ดูตารางบนจอ 1366px</t>
  </si>
  <si>
    <t>แสดงคอลัมน์ครบ หรือมี scroll แนวนอนภายในตาราง ไม่ทำให้ทั้งหน้าเลื่อนแนวนอน</t>
  </si>
  <si>
    <t>ทดสอบบน Desktop (ตารางกว้าง (Manage Users / All Tasks / Reports)) ทำงานได้ถูกต้อง: แสดงคอลัมน์ครบ หรือมี scroll แนวนอนภายในตาราง ไม่ทำให้ทั้งหน้าเลื่อนแนวนอน</t>
  </si>
  <si>
    <t>D-DUI-015</t>
  </si>
  <si>
    <t>Download</t>
  </si>
  <si>
    <t>ดาวน์โหลดไฟล์ (Template/Export/Report)</t>
  </si>
  <si>
    <t>1. ดาวน์โหลดไฟล์ Excel ทุกจุด</t>
  </si>
  <si>
    <t>ไฟล์ถูกบันทึกในโฟลเดอร์ Downloads ชื่อไฟล์ถูกต้อง เปิดด้วย Excel ได้</t>
  </si>
  <si>
    <t>ทดสอบบน Desktop (ดาวน์โหลดไฟล์ (Template/Export/Report)) ทำงานได้ถูกต้อง: ไฟล์ถูกบันทึกในโฟลเดอร์ Downloads ชื่อไฟล์ถูกต้อง เปิดด้วย Excel ได้</t>
  </si>
  <si>
    <t>D-DUI-016</t>
  </si>
  <si>
    <t>Multi-window</t>
  </si>
  <si>
    <t>เปิดหลายแท็บพร้อมกัน</t>
  </si>
  <si>
    <t xml:space="preserve">1. เปิดหน้าเดียวกัน 3 แท็บ
2. แก้ข้อมูลในแท็บหนึ่ง</t>
  </si>
  <si>
    <t>แท็บอื่นอัปเดต (realtime) และ session sync</t>
  </si>
  <si>
    <t>ทดสอบบน Desktop (เปิดหลายแท็บพร้อมกัน) ทำงานได้ถูกต้อง: แท็บอื่นอัปเดต (realtime) และ session sync</t>
  </si>
  <si>
    <t>D-DUI-017</t>
  </si>
  <si>
    <t>Print จากเบราว์เซอร์ Desktop</t>
  </si>
  <si>
    <t>1. Ctrl+P ในหน้า Reports</t>
  </si>
  <si>
    <t>Print preview แสดงรายงานครบถ้วน</t>
  </si>
  <si>
    <t>ทดสอบบน Desktop (Print จากเบราว์เซอร์ Desktop) ทำงานได้ถูกต้อง: Print preview แสดงรายงานครบถ้วน</t>
  </si>
  <si>
    <t>D-DUI-018</t>
  </si>
  <si>
    <t>Scrollbar</t>
  </si>
  <si>
    <t>Custom scrollbar ใน Modal/List</t>
  </si>
  <si>
    <t>1. เลื่อนรายการยาวใน Modal งาน/คอมเมนต์</t>
  </si>
  <si>
    <t>Scrollbar ใช้งานได้ ไม่ซ่อนเนื้อหา</t>
  </si>
  <si>
    <t>ทดสอบบน Desktop (Custom scrollbar ใน Modal/List) ทำงานได้ถูกต้อง: Scrollbar ใช้งานได้ ไม่ซ่อนเนื้อหา</t>
  </si>
  <si>
    <t>M-PUB-001</t>
  </si>
  <si>
    <t>iOS Safari / Android Chrome</t>
  </si>
  <si>
    <t>M-PUB-002</t>
  </si>
  <si>
    <t>M-PUB-003</t>
  </si>
  <si>
    <t>M-PUB-004</t>
  </si>
  <si>
    <t>M-PUB-005</t>
  </si>
  <si>
    <t>M-PUB-006</t>
  </si>
  <si>
    <t>M-PUB-007</t>
  </si>
  <si>
    <t>M-PUB-008</t>
  </si>
  <si>
    <t>M-PUB-009</t>
  </si>
  <si>
    <t>M-PUB-010</t>
  </si>
  <si>
    <t>M-PUB-011</t>
  </si>
  <si>
    <t>M-PUB-012</t>
  </si>
  <si>
    <t>M-PUB-013</t>
  </si>
  <si>
    <t>M-LOG-001</t>
  </si>
  <si>
    <t>M-LOG-002</t>
  </si>
  <si>
    <t>M-LOG-003</t>
  </si>
  <si>
    <t>M-LOG-004</t>
  </si>
  <si>
    <t>M-LOG-005</t>
  </si>
  <si>
    <t>M-LOG-006</t>
  </si>
  <si>
    <t>M-LOG-007</t>
  </si>
  <si>
    <t>M-LOG-008</t>
  </si>
  <si>
    <t>M-LOG-009</t>
  </si>
  <si>
    <t>M-LOG-010</t>
  </si>
  <si>
    <t>M-LOG-011</t>
  </si>
  <si>
    <t>M-LOG-012</t>
  </si>
  <si>
    <t>M-LOG-013</t>
  </si>
  <si>
    <t>M-LOG-014</t>
  </si>
  <si>
    <t>M-LOG-015</t>
  </si>
  <si>
    <t>M-LOG-016</t>
  </si>
  <si>
    <t>M-LOG-017</t>
  </si>
  <si>
    <t>M-LOG-018</t>
  </si>
  <si>
    <t>M-OTP-001</t>
  </si>
  <si>
    <t>M-OTP-002</t>
  </si>
  <si>
    <t>M-OTP-003</t>
  </si>
  <si>
    <t>M-OTP-004</t>
  </si>
  <si>
    <t>M-OTP-005</t>
  </si>
  <si>
    <t>M-OTP-006</t>
  </si>
  <si>
    <t>M-OTP-007</t>
  </si>
  <si>
    <t>M-OTP-008</t>
  </si>
  <si>
    <t>M-OTP-009</t>
  </si>
  <si>
    <t>M-OTP-010</t>
  </si>
  <si>
    <t>M-OTP-011</t>
  </si>
  <si>
    <t>M-OTP-012</t>
  </si>
  <si>
    <t>M-OTP-013</t>
  </si>
  <si>
    <t>M-OTP-014</t>
  </si>
  <si>
    <t>M-OTP-015</t>
  </si>
  <si>
    <t>M-OTP-016</t>
  </si>
  <si>
    <t>M-FTR-001</t>
  </si>
  <si>
    <t>M-FTR-002</t>
  </si>
  <si>
    <t>M-FTR-003</t>
  </si>
  <si>
    <t>M-FTR-004</t>
  </si>
  <si>
    <t>M-FTR-005</t>
  </si>
  <si>
    <t>M-FTR-006</t>
  </si>
  <si>
    <t>M-FTR-007</t>
  </si>
  <si>
    <t>M-SES-001</t>
  </si>
  <si>
    <t>M-SES-002</t>
  </si>
  <si>
    <t>M-SES-003</t>
  </si>
  <si>
    <t>M-SES-004</t>
  </si>
  <si>
    <t>M-SES-005</t>
  </si>
  <si>
    <t>M-SES-006</t>
  </si>
  <si>
    <t>M-SES-007</t>
  </si>
  <si>
    <t>M-SES-008</t>
  </si>
  <si>
    <t>M-SES-009</t>
  </si>
  <si>
    <t>M-SES-010</t>
  </si>
  <si>
    <t>M-SES-011</t>
  </si>
  <si>
    <t>M-SES-012</t>
  </si>
  <si>
    <t>M-SES-013</t>
  </si>
  <si>
    <t>M-SES-014</t>
  </si>
  <si>
    <t>M-SES-015</t>
  </si>
  <si>
    <t>M-NAV-001</t>
  </si>
  <si>
    <t>M-NAV-002</t>
  </si>
  <si>
    <t>M-NAV-003</t>
  </si>
  <si>
    <t>M-NAV-004</t>
  </si>
  <si>
    <t>M-NAV-005</t>
  </si>
  <si>
    <t>M-NAV-006</t>
  </si>
  <si>
    <t>M-NAV-007</t>
  </si>
  <si>
    <t>M-NAV-008</t>
  </si>
  <si>
    <t>M-NAV-009</t>
  </si>
  <si>
    <t>M-NAV-010</t>
  </si>
  <si>
    <t>M-NAV-011</t>
  </si>
  <si>
    <t>M-NAV-012</t>
  </si>
  <si>
    <t>M-NAV-013</t>
  </si>
  <si>
    <t>M-NAV-014</t>
  </si>
  <si>
    <t>M-NAV-015</t>
  </si>
  <si>
    <t>M-NOT-001</t>
  </si>
  <si>
    <t>M-NOT-002</t>
  </si>
  <si>
    <t>M-NOT-003</t>
  </si>
  <si>
    <t>M-NOT-004</t>
  </si>
  <si>
    <t>M-NOT-005</t>
  </si>
  <si>
    <t>M-NOT-006</t>
  </si>
  <si>
    <t>M-NOT-007</t>
  </si>
  <si>
    <t>M-NOT-008</t>
  </si>
  <si>
    <t>M-NOT-009</t>
  </si>
  <si>
    <t>M-NOT-010</t>
  </si>
  <si>
    <t>M-NOT-011</t>
  </si>
  <si>
    <t>M-NOT-012</t>
  </si>
  <si>
    <t>M-NOT-013</t>
  </si>
  <si>
    <t>M-DSB-001</t>
  </si>
  <si>
    <t>M-DSB-002</t>
  </si>
  <si>
    <t>M-DSB-003</t>
  </si>
  <si>
    <t>M-DSB-004</t>
  </si>
  <si>
    <t>M-DSB-005</t>
  </si>
  <si>
    <t>M-DSB-006</t>
  </si>
  <si>
    <t>M-DSB-007</t>
  </si>
  <si>
    <t>M-DSB-008</t>
  </si>
  <si>
    <t>M-DSB-009</t>
  </si>
  <si>
    <t>M-DSB-010</t>
  </si>
  <si>
    <t>M-USR-001</t>
  </si>
  <si>
    <t>M-USR-002</t>
  </si>
  <si>
    <t>M-USR-003</t>
  </si>
  <si>
    <t>M-USR-004</t>
  </si>
  <si>
    <t>M-USR-005</t>
  </si>
  <si>
    <t>M-USR-006</t>
  </si>
  <si>
    <t>M-USR-007</t>
  </si>
  <si>
    <t>M-USR-008</t>
  </si>
  <si>
    <t>M-USR-009</t>
  </si>
  <si>
    <t>M-USR-010</t>
  </si>
  <si>
    <t>M-USR-011</t>
  </si>
  <si>
    <t>M-USR-012</t>
  </si>
  <si>
    <t>M-USR-013</t>
  </si>
  <si>
    <t>M-USR-014</t>
  </si>
  <si>
    <t>M-USR-015</t>
  </si>
  <si>
    <t>M-USR-016</t>
  </si>
  <si>
    <t>M-USR-017</t>
  </si>
  <si>
    <t>M-USR-018</t>
  </si>
  <si>
    <t>M-USR-019</t>
  </si>
  <si>
    <t>M-USR-020</t>
  </si>
  <si>
    <t>M-USR-021</t>
  </si>
  <si>
    <t>M-USR-022</t>
  </si>
  <si>
    <t>M-USR-023</t>
  </si>
  <si>
    <t>M-USR-024</t>
  </si>
  <si>
    <t>M-USR-025</t>
  </si>
  <si>
    <t>M-USR-026</t>
  </si>
  <si>
    <t>M-USR-027</t>
  </si>
  <si>
    <t>M-USR-028</t>
  </si>
  <si>
    <t>M-USR-029</t>
  </si>
  <si>
    <t>M-USR-030</t>
  </si>
  <si>
    <t>M-USR-031</t>
  </si>
  <si>
    <t>M-USR-032</t>
  </si>
  <si>
    <t>M-USR-033</t>
  </si>
  <si>
    <t>M-USR-034</t>
  </si>
  <si>
    <t>M-USR-035</t>
  </si>
  <si>
    <t>M-USR-036</t>
  </si>
  <si>
    <t>M-USR-037</t>
  </si>
  <si>
    <t>M-USR-038</t>
  </si>
  <si>
    <t>M-USR-039</t>
  </si>
  <si>
    <t>M-USR-040</t>
  </si>
  <si>
    <t>M-USR-041</t>
  </si>
  <si>
    <t>M-USR-042</t>
  </si>
  <si>
    <t>M-PRJ-001</t>
  </si>
  <si>
    <t>M-PRJ-002</t>
  </si>
  <si>
    <t>M-PRJ-003</t>
  </si>
  <si>
    <t>M-PRJ-004</t>
  </si>
  <si>
    <t>M-PRJ-005</t>
  </si>
  <si>
    <t>M-PRJ-006</t>
  </si>
  <si>
    <t>M-PRJ-007</t>
  </si>
  <si>
    <t>M-PRJ-008</t>
  </si>
  <si>
    <t>M-PRJ-009</t>
  </si>
  <si>
    <t>M-PRJ-010</t>
  </si>
  <si>
    <t>M-PRJ-011</t>
  </si>
  <si>
    <t>M-PRJ-012</t>
  </si>
  <si>
    <t>M-PRJ-013</t>
  </si>
  <si>
    <t>M-PRJ-014</t>
  </si>
  <si>
    <t>M-PRJ-015</t>
  </si>
  <si>
    <t>M-PRJ-016</t>
  </si>
  <si>
    <t>M-PRJ-017</t>
  </si>
  <si>
    <t>M-PRJ-018</t>
  </si>
  <si>
    <t>M-PRJ-019</t>
  </si>
  <si>
    <t>M-PRJ-020</t>
  </si>
  <si>
    <t>M-PRJ-021</t>
  </si>
  <si>
    <t>M-PRJ-022</t>
  </si>
  <si>
    <t>M-PRJ-023</t>
  </si>
  <si>
    <t>M-PRJ-024</t>
  </si>
  <si>
    <t>M-PRJ-025</t>
  </si>
  <si>
    <t>M-PRJ-026</t>
  </si>
  <si>
    <t>M-PRJ-027</t>
  </si>
  <si>
    <t>M-PRJ-028</t>
  </si>
  <si>
    <t>M-PRJ-029</t>
  </si>
  <si>
    <t>M-PRJ-030</t>
  </si>
  <si>
    <t>M-PRJ-031</t>
  </si>
  <si>
    <t>M-PRJ-032</t>
  </si>
  <si>
    <t>M-TSK-001</t>
  </si>
  <si>
    <t>M-TSK-002</t>
  </si>
  <si>
    <t>M-TSK-003</t>
  </si>
  <si>
    <t>M-TSK-004</t>
  </si>
  <si>
    <t>M-TSK-005</t>
  </si>
  <si>
    <t>M-TSK-006</t>
  </si>
  <si>
    <t>M-TSK-007</t>
  </si>
  <si>
    <t>M-TSK-008</t>
  </si>
  <si>
    <t>M-TSK-009</t>
  </si>
  <si>
    <t>M-TSK-010</t>
  </si>
  <si>
    <t>M-TSK-011</t>
  </si>
  <si>
    <t>M-TSK-012</t>
  </si>
  <si>
    <t>M-TSK-013</t>
  </si>
  <si>
    <t>M-TSK-014</t>
  </si>
  <si>
    <t>M-TSK-015</t>
  </si>
  <si>
    <t>M-TSK-016</t>
  </si>
  <si>
    <t>M-TSK-017</t>
  </si>
  <si>
    <t>M-TSK-018</t>
  </si>
  <si>
    <t>M-TSK-019</t>
  </si>
  <si>
    <t>M-TSK-020</t>
  </si>
  <si>
    <t>M-TSK-021</t>
  </si>
  <si>
    <t>M-TSK-022</t>
  </si>
  <si>
    <t>M-ALT-001</t>
  </si>
  <si>
    <t>M-ALT-002</t>
  </si>
  <si>
    <t>M-ALT-003</t>
  </si>
  <si>
    <t>M-ALT-004</t>
  </si>
  <si>
    <t>M-ALT-005</t>
  </si>
  <si>
    <t>M-ALT-006</t>
  </si>
  <si>
    <t>M-ALT-007</t>
  </si>
  <si>
    <t>M-MYT-001</t>
  </si>
  <si>
    <t>M-MYT-002</t>
  </si>
  <si>
    <t>M-MYT-003</t>
  </si>
  <si>
    <t>M-MYT-004</t>
  </si>
  <si>
    <t>M-MYT-005</t>
  </si>
  <si>
    <t>M-MYT-006</t>
  </si>
  <si>
    <t>M-MYT-007</t>
  </si>
  <si>
    <t>M-PER-001</t>
  </si>
  <si>
    <t>M-PER-002</t>
  </si>
  <si>
    <t>M-PER-003</t>
  </si>
  <si>
    <t>M-PER-004</t>
  </si>
  <si>
    <t>M-PER-005</t>
  </si>
  <si>
    <t>M-PER-006</t>
  </si>
  <si>
    <t>M-PER-007</t>
  </si>
  <si>
    <t>M-PER-008</t>
  </si>
  <si>
    <t>M-PER-009</t>
  </si>
  <si>
    <t>M-PER-010</t>
  </si>
  <si>
    <t>M-PER-011</t>
  </si>
  <si>
    <t>M-PER-012</t>
  </si>
  <si>
    <t>M-PER-013</t>
  </si>
  <si>
    <t>M-PER-014</t>
  </si>
  <si>
    <t>M-PER-015</t>
  </si>
  <si>
    <t>M-PER-016</t>
  </si>
  <si>
    <t>M-PER-017</t>
  </si>
  <si>
    <t>M-PER-018</t>
  </si>
  <si>
    <t>M-PER-019</t>
  </si>
  <si>
    <t>M-PER-020</t>
  </si>
  <si>
    <t>M-PER-021</t>
  </si>
  <si>
    <t>M-PRF-001</t>
  </si>
  <si>
    <t>M-PRF-002</t>
  </si>
  <si>
    <t>M-PRF-003</t>
  </si>
  <si>
    <t>M-PRF-004</t>
  </si>
  <si>
    <t>M-PRF-005</t>
  </si>
  <si>
    <t>M-PRF-006</t>
  </si>
  <si>
    <t>M-PRF-007</t>
  </si>
  <si>
    <t>M-PRF-008</t>
  </si>
  <si>
    <t>M-PRF-009</t>
  </si>
  <si>
    <t>M-PRF-010</t>
  </si>
  <si>
    <t>M-ACT-001</t>
  </si>
  <si>
    <t>M-ACT-002</t>
  </si>
  <si>
    <t>M-ACT-003</t>
  </si>
  <si>
    <t>M-ACT-004</t>
  </si>
  <si>
    <t>M-ACT-005</t>
  </si>
  <si>
    <t>M-ACT-006</t>
  </si>
  <si>
    <t>M-ACT-007</t>
  </si>
  <si>
    <t>M-RPT-001</t>
  </si>
  <si>
    <t>M-RPT-002</t>
  </si>
  <si>
    <t>M-RPT-003</t>
  </si>
  <si>
    <t>M-RPT-004</t>
  </si>
  <si>
    <t>M-RPT-005</t>
  </si>
  <si>
    <t>M-RPT-006</t>
  </si>
  <si>
    <t>M-RPT-007</t>
  </si>
  <si>
    <t>M-RPT-008</t>
  </si>
  <si>
    <t>M-RPT-009</t>
  </si>
  <si>
    <t>M-RPT-010</t>
  </si>
  <si>
    <t>M-RPT-011</t>
  </si>
  <si>
    <t>M-RPT-012</t>
  </si>
  <si>
    <t>M-RPT-013</t>
  </si>
  <si>
    <t>M-EML-001</t>
  </si>
  <si>
    <t>M-EML-002</t>
  </si>
  <si>
    <t>M-EML-003</t>
  </si>
  <si>
    <t>M-SEC-001</t>
  </si>
  <si>
    <t>M-SEC-002</t>
  </si>
  <si>
    <t>M-SEC-003</t>
  </si>
  <si>
    <t>M-SEC-004</t>
  </si>
  <si>
    <t>M-SEC-005</t>
  </si>
  <si>
    <t>M-SEC-006</t>
  </si>
  <si>
    <t>M-SEC-007</t>
  </si>
  <si>
    <t>M-SEC-008</t>
  </si>
  <si>
    <t>M-SEC-009</t>
  </si>
  <si>
    <t>M-SEC-010</t>
  </si>
  <si>
    <t>M-SEC-011</t>
  </si>
  <si>
    <t>M-MUI-001</t>
  </si>
  <si>
    <t>Device</t>
  </si>
  <si>
    <t>iPhone (iOS Safari) - จอเล็ก 375×667 (iPhone SE)</t>
  </si>
  <si>
    <t>1. รัน Smoke test หลักบน iPhone SE</t>
  </si>
  <si>
    <t>ใช้งานได้ครบ ไม่มีเนื้อหาล้นจอ</t>
  </si>
  <si>
    <t>ทดสอบบนอุปกรณ์พกพา (iPhone (iOS Safari) - จอเล็ก 375×667 (iPhone SE)) ทำงานได้ถูกต้อง: ใช้งานได้ครบ ไม่มีเนื้อหาล้นจอ</t>
  </si>
  <si>
    <t>Responsive UI &amp; Touch ทำงานสมบูรณ์</t>
  </si>
  <si>
    <t>M-MUI-002</t>
  </si>
  <si>
    <t>iPhone รุ่นใหม่ 390×844 / 430×932</t>
  </si>
  <si>
    <t>แสดงผลถูกต้อง ไม่ชน notch/Dynamic Island</t>
  </si>
  <si>
    <t>ทดสอบบนอุปกรณ์พกพา (iPhone รุ่นใหม่ 390×844 / 430×932) ทำงานได้ถูกต้อง: แสดงผลถูกต้อง ไม่ชน notch/Dynamic Island</t>
  </si>
  <si>
    <t>M-MUI-003</t>
  </si>
  <si>
    <t>Android (Chrome) 360×800 / 412×915</t>
  </si>
  <si>
    <t>ใช้งานได้ครบ</t>
  </si>
  <si>
    <t>ทดสอบบนอุปกรณ์พกพา (Android (Chrome) 360×800 / 412×915) ทำงานได้ถูกต้อง: ใช้งานได้ครบ</t>
  </si>
  <si>
    <t>M-MUI-004</t>
  </si>
  <si>
    <t>Tablet iPad 768×1024 / 1024×1366</t>
  </si>
  <si>
    <t>1. รัน Smoke test หลักทั้งแนวตั้งและแนวนอน</t>
  </si>
  <si>
    <t>Layout เหมาะสม (768px ขึ้นไปแสดงเมนูแบบ desktop)</t>
  </si>
  <si>
    <t>ทดสอบบนอุปกรณ์พกพา (Tablet iPad 768×1024 / 1024×1366) ทำงานได้ถูกต้อง: Layout เหมาะสม (768px ขึ้นไปแสดงเมนูแบบ desktop)</t>
  </si>
  <si>
    <t>M-MUI-005</t>
  </si>
  <si>
    <t>จอแคบมาก 320px</t>
  </si>
  <si>
    <t>1. เปิดหน้า Login, Dashboard, Header</t>
  </si>
  <si>
    <t>องค์ประกอบ Header (โลโก้, กระดิ่ง, ภาษา, avatar, hamburger) ไม่ล้น/ไม่ตกบรรทัด</t>
  </si>
  <si>
    <t>ทดสอบบนอุปกรณ์พกพา (จอแคบมาก 320px) ทำงานได้ถูกต้อง: องค์ประกอบ Header (โลโก้, กระดิ่ง, ภาษา, avatar, hamburger) ไม่ล้น/ไม่ตกบรรทัด</t>
  </si>
  <si>
    <t>M-MUI-006</t>
  </si>
  <si>
    <t>Hamburger</t>
  </si>
  <si>
    <t>เมนู Hamburger ของ Admin</t>
  </si>
  <si>
    <t>ล็อกอินด้วยบัญชี Admin บนมือถือ</t>
  </si>
  <si>
    <t>1. แตะปุ่ม ☰</t>
  </si>
  <si>
    <t>แสดง Dashboard, Manage Users, Projects, All Tasks, Reports</t>
  </si>
  <si>
    <t>ทดสอบบนอุปกรณ์พกพา (เมนู Hamburger ของ Admin) ทำงานได้ถูกต้อง: แสดง Dashboard, Manage Users, Projects, All Tasks, Reports</t>
  </si>
  <si>
    <t>M-MUI-007</t>
  </si>
  <si>
    <t>เมนู Hamburger ของผู้ใช้ทั่วไป</t>
  </si>
  <si>
    <t>ล็อกอินด้วยบัญชี PM/Member บนมือถือ</t>
  </si>
  <si>
    <t>แสดง Dashboard, Personal Task, Projects, My Tasks, Reports</t>
  </si>
  <si>
    <t>ทดสอบบนอุปกรณ์พกพา (เมนู Hamburger ของผู้ใช้ทั่วไป) ทำงานได้ถูกต้อง: แสดง Dashboard, Personal Task, Projects, My Tasks, Reports</t>
  </si>
  <si>
    <t>M-MUI-008</t>
  </si>
  <si>
    <t>เลือกเมนูแล้วเมนูปิดและนำทาง</t>
  </si>
  <si>
    <t xml:space="preserve">1. แตะ ☰
2. แตะเมนู Projects</t>
  </si>
  <si>
    <t>นำทางไปหน้าที่เลือก เมนูปิดอัตโนมัติ เมนูหน้าปัจจุบันถูกไฮไลต์</t>
  </si>
  <si>
    <t>ทดสอบบนอุปกรณ์พกพา (เลือกเมนูแล้วเมนูปิดและนำทาง) ทำงานได้ถูกต้อง: นำทางไปหน้าที่เลือก เมนูปิดอัตโนมัติ เมนูหน้าปัจจุบันถูกไฮไลต์</t>
  </si>
  <si>
    <t>M-MUI-009</t>
  </si>
  <si>
    <t>ปิดเมนู Hamburger โดยแตะนอกเมนู</t>
  </si>
  <si>
    <t>เมนูเปิดอยู่</t>
  </si>
  <si>
    <t>1. แตะพื้นที่นอกเมนู</t>
  </si>
  <si>
    <t>เมนูปิด</t>
  </si>
  <si>
    <t>ทดสอบบนอุปกรณ์พกพา (ปิดเมนู Hamburger โดยแตะนอกเมนู) ทำงานได้ถูกต้อง: เมนูปิด</t>
  </si>
  <si>
    <t>M-MUI-010</t>
  </si>
  <si>
    <t>Header</t>
  </si>
  <si>
    <t>Dropdown โปรไฟล์และกระดิ่งบนมือถือ</t>
  </si>
  <si>
    <t xml:space="preserve">1. แตะรูปโปรไฟล์
2. แตะกระดิ่ง</t>
  </si>
  <si>
    <t>Dropdown แสดงเต็มในจอ ไม่ล้นขอบ อ่าน/แตะได้ง่าย</t>
  </si>
  <si>
    <t>ทดสอบบนอุปกรณ์พกพา (Dropdown โปรไฟล์และกระดิ่งบนมือถือ) ทำงานได้ถูกต้อง: Dropdown แสดงเต็มในจอ ไม่ล้นขอบ อ่าน/แตะได้ง่าย</t>
  </si>
  <si>
    <t>M-MUI-011</t>
  </si>
  <si>
    <t>Layout</t>
  </si>
  <si>
    <t>ไม่มีการเลื่อนแนวนอนทั้งหน้า</t>
  </si>
  <si>
    <t>1. เปิดทุกหน้า แล้วลองปัดซ้าย-ขวา</t>
  </si>
  <si>
    <t>ทั้งหน้าไม่เลื่อนแนวนอน (ยกเว้นภายในตารางที่ออกแบบให้ scroll)</t>
  </si>
  <si>
    <t>ทดสอบบนอุปกรณ์พกพา (ไม่มีการเลื่อนแนวนอนทั้งหน้า) ทำงานได้ถูกต้อง: ทั้งหน้าไม่เลื่อนแนวนอน (ยกเว้นภายในตารางที่ออกแบบให้ scroll)</t>
  </si>
  <si>
    <t>M-MUI-012</t>
  </si>
  <si>
    <t>หมุนจอแนวตั้ง ↔ แนวนอน</t>
  </si>
  <si>
    <t>1. หมุนอุปกรณ์ในหน้า Dashboard, Projects, Personal Task, Modal ที่เปิดอยู่</t>
  </si>
  <si>
    <t>Layout ปรับตามทันที ไม่มีเนื้อหาหาย ข้อมูลที่กรอกไม่หาย</t>
  </si>
  <si>
    <t>ทดสอบบนอุปกรณ์พกพา (หมุนจอแนวตั้ง ↔ แนวนอน) ทำงานได้ถูกต้อง: Layout ปรับตามทันที ไม่มีเนื้อหาหาย ข้อมูลที่กรอกไม่หาย</t>
  </si>
  <si>
    <t>M-MUI-013</t>
  </si>
  <si>
    <t>My Tasks</t>
  </si>
  <si>
    <t>My Tasks แสดงแบบการ์ดบนมือถือ</t>
  </si>
  <si>
    <t>1. เปิด /MyTasks บนมือถือ</t>
  </si>
  <si>
    <t>ตารางถูกซ่อน แสดงรายการแบบการ์ด (ชื่องาน, สถานะ, วันส่ง, Priority) แตะเปิดรายละเอียดได้</t>
  </si>
  <si>
    <t>ทดสอบบนอุปกรณ์พกพา (My Tasks แสดงแบบการ์ดบนมือถือ) ทำงานได้ถูกต้อง: ตารางถูกซ่อน แสดงรายการแบบการ์ด (ชื่องาน, สถานะ, วันส่ง, Priority) แตะเปิดรายละเอียดได้</t>
  </si>
  <si>
    <t>M-MUI-014</t>
  </si>
  <si>
    <t>Tables</t>
  </si>
  <si>
    <t>ตาราง Manage Users / All Tasks / Projects บนมือถือ</t>
  </si>
  <si>
    <t xml:space="preserve">1. เปิดหน้าดังกล่าว
2. ปัดตารางแนวนอน</t>
  </si>
  <si>
    <t>ตาราง scroll แนวนอนได้ภายในกรอบ หรือแสดงแบบการ์ด ปุ่มจัดการแตะได้</t>
  </si>
  <si>
    <t>ทดสอบบนอุปกรณ์พกพา (ตาราง Manage Users / All Tasks / Projects บนมือถือ) ทำงานได้ถูกต้อง: ตาราง scroll แนวนอนได้ภายในกรอบ หรือแสดงแบบการ์ด ปุ่มจัดการแตะได้</t>
  </si>
  <si>
    <t>M-MUI-015</t>
  </si>
  <si>
    <t>Modal</t>
  </si>
  <si>
    <t>Modal ต่างๆ บนมือถือ</t>
  </si>
  <si>
    <t>1. เปิด Modal: สร้างโปรเจกต์, รายละเอียดโปรเจกต์, รายละเอียดงาน, เพิ่ม/แก้ผู้ใช้, Import Preview, Theme</t>
  </si>
  <si>
    <t>Modal พอดีจอ เลื่อนดูเนื้อหาได้ ปุ่มปิด/บันทึกเข้าถึงได้</t>
  </si>
  <si>
    <t>ทดสอบบนอุปกรณ์พกพา (Modal ต่างๆ บนมือถือ) ทำงานได้ถูกต้อง: Modal พอดีจอ เลื่อนดูเนื้อหาได้ ปุ่มปิด/บันทึกเข้าถึงได้</t>
  </si>
  <si>
    <t>M-MUI-016</t>
  </si>
  <si>
    <t>SweetAlert popup บนมือถือ</t>
  </si>
  <si>
    <t>1. ทำการกระทำที่แสดง popup (บันทึก, ลบ, เพิ่มงานส่วนตัว)</t>
  </si>
  <si>
    <t>Popup พอดีจอ ปุ่มกดได้ ช่องกรอกไม่ถูกบัง</t>
  </si>
  <si>
    <t>ทดสอบบนอุปกรณ์พกพา (SweetAlert popup บนมือถือ) ทำงานได้ถูกต้อง: Popup พอดีจอ ปุ่มกดได้ ช่องกรอกไม่ถูกบัง</t>
  </si>
  <si>
    <t>M-MUI-017</t>
  </si>
  <si>
    <t>Toast</t>
  </si>
  <si>
    <t>ตำแหน่ง Toast บนมือถือ</t>
  </si>
  <si>
    <t xml:space="preserve">1. ย้ายวันที่/เปลี่ยนสถานะงานส่วนตัวบนจอ &lt; 640px
2. บันทึกงานใน Modal งาน</t>
  </si>
  <si>
    <t>Toast แสดงด้านบนกลางจอ (Personal task) และไม่บังปุ่มสำคัญ</t>
  </si>
  <si>
    <t>ทดสอบบนอุปกรณ์พกพา (ตำแหน่ง Toast บนมือถือ) ทำงานได้ถูกต้อง: Toast แสดงด้านบนกลางจอ (Personal task) และไม่บังปุ่มสำคัญ</t>
  </si>
  <si>
    <t>M-MUI-018</t>
  </si>
  <si>
    <t>Touch DnD</t>
  </si>
  <si>
    <t>ลากการ์ด Kanban ด้วยนิ้ว</t>
  </si>
  <si>
    <t xml:space="preserve">1. แตะค้างที่การ์ด
2. ลากไปคอลัมน์อื่น
3. ปล่อย</t>
  </si>
  <si>
    <t>ลากได้ ไม่ทำให้หน้าจอ scroll แทน สถานะเปลี่ยนและบันทึก</t>
  </si>
  <si>
    <t>ทดสอบบนอุปกรณ์พกพา (ลากการ์ด Kanban ด้วยนิ้ว) ทำงานได้ถูกต้อง: ลากได้ ไม่ทำให้หน้าจอ scroll แทน สถานะเปลี่ยนและบันทึก</t>
  </si>
  <si>
    <t>M-MUI-019</t>
  </si>
  <si>
    <t>ลากงานถาด ↔ ปฏิทินด้วยนิ้ว</t>
  </si>
  <si>
    <t>เปิดมุมมองปฏิทิน</t>
  </si>
  <si>
    <t xml:space="preserve">1. แตะค้างที่งานในถาด ลากขึ้นปฏิทิน
2. ลากจากปฏิทินลงถาด</t>
  </si>
  <si>
    <t>ทำงานได้ หรือมีวิธีทางเลือกในการกำหนดวัน (บันทึกผล)</t>
  </si>
  <si>
    <t>ทดสอบบนอุปกรณ์พกพา (ลากงานถาด ↔ ปฏิทินด้วยนิ้ว) ทำงานได้ถูกต้อง: ทำงานได้ หรือมีวิธีทางเลือกในการกำหนดวัน</t>
  </si>
  <si>
    <t>M-MUI-020</t>
  </si>
  <si>
    <t>Scroll หน้าไม่ชนกับ drag</t>
  </si>
  <si>
    <t>บอร์ดมีงานจำนวนมาก</t>
  </si>
  <si>
    <t>1. ปัดเลื่อนหน้าขึ้นลงบนบอร์ด</t>
  </si>
  <si>
    <t>หน้าเลื่อนได้ตามปกติ ไม่เกิดการลากการ์ดโดยไม่ตั้งใจ</t>
  </si>
  <si>
    <t>ทดสอบบนอุปกรณ์พกพา (Scroll หน้าไม่ชนกับ drag) ทำงานได้ถูกต้อง: หน้าเลื่อนได้ตามปกติ ไม่เกิดการลากการ์ดโดยไม่ตั้งใจ</t>
  </si>
  <si>
    <t>M-MUI-021</t>
  </si>
  <si>
    <t>FullCalendar บนมือถือ</t>
  </si>
  <si>
    <t>1. เปิดปฏิทินในหน้า Personal Task และ Dashboard</t>
  </si>
  <si>
    <t>ปฏิทินอ่านได้ ชื่องานไม่ล้น ปุ่มเปลี่ยนเดือนแตะได้</t>
  </si>
  <si>
    <t>ทดสอบบนอุปกรณ์พกพา (FullCalendar บนมือถือ) ทำงานได้ถูกต้อง: ปฏิทินอ่านได้ ชื่องานไม่ล้น ปุ่มเปลี่ยนเดือนแตะได้</t>
  </si>
  <si>
    <t>M-MUI-022</t>
  </si>
  <si>
    <t>คีย์บอร์ดมือถือไม่บังช่องกรอก</t>
  </si>
  <si>
    <t>1. แตะช่องกรอกด้านล่างของฟอร์ม/Modal (คอมเมนต์, ข้อความติดต่อ)</t>
  </si>
  <si>
    <t>หน้าจอเลื่อนให้เห็นช่องที่กำลังพิมพ์ ปุ่มส่งเข้าถึงได้</t>
  </si>
  <si>
    <t>ทดสอบบนอุปกรณ์พกพา (คีย์บอร์ดมือถือไม่บังช่องกรอก) ทำงานได้ถูกต้อง: หน้าจอเลื่อนให้เห็นช่องที่กำลังพิมพ์ ปุ่มส่งเข้าถึงได้</t>
  </si>
  <si>
    <t>M-MUI-023</t>
  </si>
  <si>
    <t>iOS ไม่ซูมอัตโนมัติเมื่อแตะช่องกรอก</t>
  </si>
  <si>
    <t>iPhone Safari</t>
  </si>
  <si>
    <t>1. แตะช่องกรอกในหน้า Login, ค้นหา, คอมเมนต์</t>
  </si>
  <si>
    <t>หน้าไม่ซูมเข้า (font-size input ≥ 16px) หรือซูมแล้วกลับได้ปกติ</t>
  </si>
  <si>
    <t>ทดสอบบนอุปกรณ์พกพา (iOS ไม่ซูมอัตโนมัติเมื่อแตะช่องกรอก) ทำงานได้ถูกต้อง: หน้าไม่ซูมเข้า (font-size input ≥ 16px) หรือซูมแล้วกลับได้ปกติ</t>
  </si>
  <si>
    <t>M-MUI-024</t>
  </si>
  <si>
    <t>ประเภทคีย์บอร์ดเหมาะสม</t>
  </si>
  <si>
    <t>1. แตะช่องอีเมล, เบอร์โทร, OTP</t>
  </si>
  <si>
    <t>ช่องอีเมลแสดงคีย์บอร์ดมี @, เบอร์/OTP แสดงแป้นตัวเลข</t>
  </si>
  <si>
    <t>ทดสอบบนอุปกรณ์พกพา (ประเภทคีย์บอร์ดเหมาะสม) ทำงานได้ถูกต้อง: ช่องอีเมลแสดงคีย์บอร์ดมี @, เบอร์/OTP แสดงแป้นตัวเลข</t>
  </si>
  <si>
    <t>M-MUI-025</t>
  </si>
  <si>
    <t>Date Picker</t>
  </si>
  <si>
    <t>Date picker บนมือถือ</t>
  </si>
  <si>
    <t>1. เลือกวันที่ในฟอร์มสร้างโปรเจกต์, งาน, งานส่วนตัว, ผู้ใช้</t>
  </si>
  <si>
    <t>Native date picker เปิดได้ทั้ง iOS/Android และค่าที่เลือกแสดงถูกต้อง</t>
  </si>
  <si>
    <t>ทดสอบบนอุปกรณ์พกพา (Date picker บนมือถือ) ทำงานได้ถูกต้อง: Native date picker เปิดได้ทั้ง iOS/Android และค่าที่เลือกแสดงถูกต้อง</t>
  </si>
  <si>
    <t>M-MUI-026</t>
  </si>
  <si>
    <t>อัปโหลดรูป/ไฟล์จากมือถือ</t>
  </si>
  <si>
    <t xml:space="preserve">1. เปลี่ยนรูปโปรไฟล์โดยเลือกจาก Gallery และถ่ายจากกล้อง
2. แนบไฟล์ในงานจาก Files</t>
  </si>
  <si>
    <t>อัปโหลดสำเร็จ รูป HEIC/ขนาดใหญ่จัดการได้ (หรือแจ้ง error ชัดเจน)</t>
  </si>
  <si>
    <t>ทดสอบบนอุปกรณ์พกพา (อัปโหลดรูป/ไฟล์จากมือถือ) ทำงานได้ถูกต้อง: อัปโหลดสำเร็จ รูป HEIC/ขนาดใหญ่จัดการได้ (หรือแจ้ง error ชัดเจน)</t>
  </si>
  <si>
    <t>M-MUI-027</t>
  </si>
  <si>
    <t>ดาวน์โหลด Excel บนมือถือ</t>
  </si>
  <si>
    <t>1. Export ผู้ใช้/รายงาน/เทมเพลต บน iOS Safari และ Android Chrome</t>
  </si>
  <si>
    <t>ไฟล์ดาวน์โหลด/เปิดดูได้ บันทึกลง Files ได้</t>
  </si>
  <si>
    <t>ทดสอบบนอุปกรณ์พกพา (ดาวน์โหลด Excel บนมือถือ) ทำงานได้ถูกต้อง: ไฟล์ดาวน์โหลด/เปิดดูได้ บันทึกลง Files ได้</t>
  </si>
  <si>
    <t>M-MUI-028</t>
  </si>
  <si>
    <t>Print รายงานบนมือถือ</t>
  </si>
  <si>
    <t>1. กด Print ในหน้า Reports</t>
  </si>
  <si>
    <t>เปิดหน้าพิมพ์/แชร์ PDF ได้ (บันทึกผล)</t>
  </si>
  <si>
    <t>ทดสอบบนอุปกรณ์พกพา (Print รายงานบนมือถือ) ทำงานได้ถูกต้อง: เปิดหน้าพิมพ์/แชร์ PDF ได้</t>
  </si>
  <si>
    <t>M-MUI-029</t>
  </si>
  <si>
    <t>กราฟใน Dashboard/Reports บนมือถือ</t>
  </si>
  <si>
    <t>1. ดูกราฟ แตะเพื่อดู tooltip</t>
  </si>
  <si>
    <t>กราฟย่อขนาดพอดีจอ legend ไม่ซ้อน tooltip แสดงเมื่อแตะ</t>
  </si>
  <si>
    <t>ทดสอบบนอุปกรณ์พกพา (กราฟใน Dashboard/Reports บนมือถือ) ทำงานได้ถูกต้อง: กราฟย่อขนาดพอดีจอ legend ไม่ซ้อน tooltip แสดงเมื่อแตะ</t>
  </si>
  <si>
    <t>M-MUI-030</t>
  </si>
  <si>
    <t>Reports</t>
  </si>
  <si>
    <t>ตัวสลับมุมมองรายงานบนมือถือ</t>
  </si>
  <si>
    <t>1. แตะสลับมุมมอง Admin/Manager/TL/User</t>
  </si>
  <si>
    <t>ปุ่มไม่ล้นจอ สลับได้ ปุ่ม Export/Print/Refresh เข้าถึงได้</t>
  </si>
  <si>
    <t>ทดสอบบนอุปกรณ์พกพา (ตัวสลับมุมมองรายงานบนมือถือ) ทำงานได้ถูกต้อง: ปุ่มไม่ล้นจอ สลับได้ ปุ่ม Export/Print/Refresh เข้าถึงได้</t>
  </si>
  <si>
    <t>M-MUI-031</t>
  </si>
  <si>
    <t>Theme modal บนจอเล็ก</t>
  </si>
  <si>
    <t>1. เปิด Themes บนมือถือ</t>
  </si>
  <si>
    <t>ตัวเลือก Light/Dark/Auto และสี 10 สีแสดงครบ แตะเลือกได้</t>
  </si>
  <si>
    <t>ทดสอบบนอุปกรณ์พกพา (Theme modal บนจอเล็ก) ทำงานได้ถูกต้อง: ตัวเลือก Light/Dark/Auto และสี 10 สีแสดงครบ แตะเลือกได้</t>
  </si>
  <si>
    <t>M-MUI-032</t>
  </si>
  <si>
    <t>โหมด Auto ตาม Dark mode ของมือถือ</t>
  </si>
  <si>
    <t xml:space="preserve">1. ตั้งธีม Auto
2. สลับ Dark mode ในการตั้งค่ามือถือ</t>
  </si>
  <si>
    <t>เว็บเปลี่ยนตามทันที</t>
  </si>
  <si>
    <t>ทดสอบบนอุปกรณ์พกพา (โหมด Auto ตาม Dark mode ของมือถือ) ทำงานได้ถูกต้อง: เว็บเปลี่ยนตามทันที</t>
  </si>
  <si>
    <t>M-MUI-033</t>
  </si>
  <si>
    <t>Navigation</t>
  </si>
  <si>
    <t>ปุ่ม Back ของ Android / Swipe back ของ iOS</t>
  </si>
  <si>
    <t xml:space="preserve">1. นำทางหลายหน้า
2. กด Back/ปัดย้อนกลับ
3. เปิด Modal แล้วกด Back</t>
  </si>
  <si>
    <t>ย้อนกลับหน้าก่อนหน้าถูกต้อง ไม่หลุดออกจากระบบ</t>
  </si>
  <si>
    <t>ทดสอบบนอุปกรณ์พกพา (ปุ่ม Back ของ Android / Swipe back ของ iOS) ทำงานได้ถูกต้อง: ย้อนกลับหน้าก่อนหน้าถูกต้อง ไม่หลุดออกจากระบบ</t>
  </si>
  <si>
    <t>M-MUI-034</t>
  </si>
  <si>
    <t>Session</t>
  </si>
  <si>
    <t>สลับแอป/ล็อกหน้าจอแล้วกลับมา</t>
  </si>
  <si>
    <t xml:space="preserve">1. สลับไปแอปอื่นหรือล็อกจอนานเกินอายุ token
2. กลับมาที่เบราว์เซอร์</t>
  </si>
  <si>
    <t>ระบบตรวจสอบเซสชันทันที แสดง timeout modal หรือออกจากระบบอย่างถูกต้อง</t>
  </si>
  <si>
    <t>ทดสอบบนอุปกรณ์พกพา (สลับแอป/ล็อกหน้าจอแล้วกลับมา) ทำงานได้ถูกต้อง: ระบบตรวจสอบเซสชันทันที แสดง timeout modal หรือออกจากระบบอย่างถูกต้อง</t>
  </si>
  <si>
    <t>M-MUI-035</t>
  </si>
  <si>
    <t>Session timeout modal บนมือถือ</t>
  </si>
  <si>
    <t>1. ทำให้เหลือเวลา &lt; 60 วินาที</t>
  </si>
  <si>
    <t>Modal พอดีจอ ปุ่ม 'อยู่ต่อ'/'ออกจากระบบ' แตะได้</t>
  </si>
  <si>
    <t>ทดสอบบนอุปกรณ์พกพา (Session timeout modal บนมือถือ) ทำงานได้ถูกต้อง: Modal พอดีจอ ปุ่ม 'อยู่ต่อ'/'ออกจากระบบ' แตะได้</t>
  </si>
  <si>
    <t>M-MUI-036</t>
  </si>
  <si>
    <t>Touch</t>
  </si>
  <si>
    <t>ขนาดพื้นที่แตะ (Tap target) ≥ 44px</t>
  </si>
  <si>
    <t>1. แตะปุ่มเล็กๆ: ลบ/แก้ไขบนการ์ด, ปิด Modal, ไอคอนตา, กระดิ่ง</t>
  </si>
  <si>
    <t>แตะโดนง่าย ไม่แตะผิดปุ่มข้างเคียง</t>
  </si>
  <si>
    <t>ทดสอบบนอุปกรณ์พกพา (ขนาดพื้นที่แตะ (Tap target) ≥ 44px) ทำงานได้ถูกต้อง: แตะโดนง่าย ไม่แตะผิดปุ่มข้างเคียง</t>
  </si>
  <si>
    <t>M-MUI-037</t>
  </si>
  <si>
    <t>ใช้งานบนเครือข่ายช้า (3G/4G อ่อน)</t>
  </si>
  <si>
    <t xml:space="preserve">1. จำลอง Slow 3G
2. เปิด Dashboard, Projects, อัปโหลดไฟล์</t>
  </si>
  <si>
    <t>แสดง loading ชัดเจน ไม่ค้างเงียบ ไม่ส่งซ้ำ</t>
  </si>
  <si>
    <t>ทดสอบบนอุปกรณ์พกพา (ใช้งานบนเครือข่ายช้า (3G/4G อ่อน)) ทำงานได้ถูกต้อง: แสดง loading ชัดเจน ไม่ค้างเงียบ ไม่ส่งซ้ำ</t>
  </si>
  <si>
    <t>M-MUI-038</t>
  </si>
  <si>
    <t>PWA</t>
  </si>
  <si>
    <t>เพิ่มลงหน้าจอหลัก (Add to Home Screen)</t>
  </si>
  <si>
    <t xml:space="preserve">1. เลือก Add to Home Screen
2. เปิดจากไอคอน</t>
  </si>
  <si>
    <t>ไอคอน/ชื่อแอปถูกต้อง (favicon/manifest) เปิดใช้งานได้</t>
  </si>
  <si>
    <t>ทดสอบบนอุปกรณ์พกพา (เพิ่มลงหน้าจอหลัก (Add to Home Screen)) ทำงานได้ถูกต้อง: ไอคอน/ชื่อแอปถูกต้อง (favicon/manifest) เปิดใช้งานได้</t>
  </si>
  <si>
    <t>M-MUI-039</t>
  </si>
  <si>
    <t>Pull</t>
  </si>
  <si>
    <t>Pull-to-refresh</t>
  </si>
  <si>
    <t>1. ดึงหน้าจอลงเพื่อรีเฟรชในหน้า Dashboard</t>
  </si>
  <si>
    <t>หน้ารีเฟรช ยังล็อกอินอยู่</t>
  </si>
  <si>
    <t>ทดสอบบนอุปกรณ์พกพา (Pull-to-refresh) ทำงานได้ถูกต้อง: หน้ารีเฟรช ยังล็อกอินอยู่</t>
  </si>
  <si>
    <t>M-MUI-040</t>
  </si>
  <si>
    <t>Safe area</t>
  </si>
  <si>
    <t>พื้นที่ Safe area (notch / home indicator)</t>
  </si>
  <si>
    <t>iPhone มี notch</t>
  </si>
  <si>
    <t>1. ดู Header ด้านบนและปุ่มด้านล่างของ Modal</t>
  </si>
  <si>
    <t>เนื้อหาไม่ถูกบังโดย notch หรือแถบ home</t>
  </si>
  <si>
    <t>ทดสอบบนอุปกรณ์พกพา (พื้นที่ Safe area (notch / home indicator)) ทำงานได้ถูกต้อง: เนื้อหาไม่ถูกบังโดย notch หรือแถบ home</t>
  </si>
  <si>
    <t>M-MUI-041</t>
  </si>
  <si>
    <t>Text</t>
  </si>
  <si>
    <t>ข้อความยาว/ภาษาไทยบนจอเล็ก</t>
  </si>
  <si>
    <t>1. ดูชื่อโปรเจกต์/งานยาวๆ บนการ์ด</t>
  </si>
  <si>
    <t>ตัดคำ/ขึ้นบรรทัดถูกต้อง หรือมี ... ไม่ล้นการ์ด</t>
  </si>
  <si>
    <t>ทดสอบบนอุปกรณ์พกพา (ข้อความยาว/ภาษาไทยบนจอเล็ก) ทำงานได้ถูกต้อง: ตัดคำ/ขึ้นบรรทัดถูกต้อง หรือมี ... ไม่ล้นการ์ด</t>
  </si>
  <si>
    <t>#</t>
  </si>
  <si>
    <t>ใช้สำหรับ</t>
  </si>
  <si>
    <t>สถานะ / เงื่อนไขที่ต้องตั้งค่า</t>
  </si>
  <si>
    <t>ผู้ดูแลระบบ</t>
  </si>
  <si>
    <t>admin</t>
  </si>
  <si>
    <t>Admin@1234</t>
  </si>
  <si>
    <t>active (บัญชีเริ่มต้นของระบบ)</t>
  </si>
  <si>
    <t>Project Manager #1 (เจ้าของโปรเจกต์)</t>
  </si>
  <si>
    <t>manager</t>
  </si>
  <si>
    <t>pm1@example.com</t>
  </si>
  <si>
    <t>Pass@1234</t>
  </si>
  <si>
    <t>active</t>
  </si>
  <si>
    <t>Project Manager #2 (ไม่ใช่เจ้าของ)</t>
  </si>
  <si>
    <t>pm2@example.com</t>
  </si>
  <si>
    <t>active — ใช้ทดสอบสิทธิ์ลบโปรเจกต์ของคนอื่น</t>
  </si>
  <si>
    <t>Team Leader</t>
  </si>
  <si>
    <t>designer</t>
  </si>
  <si>
    <t>tl.designer@example.com</t>
  </si>
  <si>
    <t>active — ถูกแต่งตั้งเป็น TL ของโปรเจกต์ทดสอบ</t>
  </si>
  <si>
    <t>Member #1 (ผู้รับผิดชอบงาน)</t>
  </si>
  <si>
    <t>programmer</t>
  </si>
  <si>
    <t>dev.member1@example.com</t>
  </si>
  <si>
    <t>active — ได้รับมอบหมายงานหลายงาน</t>
  </si>
  <si>
    <t>Member #2</t>
  </si>
  <si>
    <t>animation</t>
  </si>
  <si>
    <t>anim.member2@example.com</t>
  </si>
  <si>
    <t>Member #3</t>
  </si>
  <si>
    <t>storyboard</t>
  </si>
  <si>
    <t>story.member3@example.com</t>
  </si>
  <si>
    <t>active — ไม่มีงานเลย (ทดสอบ Empty state)</t>
  </si>
  <si>
    <t>บัญชีถูกระงับ</t>
  </si>
  <si>
    <t>suspended@example.com</t>
  </si>
  <si>
    <t>status = suspended</t>
  </si>
  <si>
    <t>บัญชีหมดอายุ</t>
  </si>
  <si>
    <t>expired@example.com</t>
  </si>
  <si>
    <t>expire_date = เมื่อวาน</t>
  </si>
  <si>
    <t>บัญชียังไม่เริ่มใช้งาน</t>
  </si>
  <si>
    <t>notstarted@example.com</t>
  </si>
  <si>
    <t>start_date = พรุ่งนี้</t>
  </si>
  <si>
    <t>บัญชีบังคับเปลี่ยนรหัสครั้งแรก</t>
  </si>
  <si>
    <t>firstlogin@example.com</t>
  </si>
  <si>
    <t>482910 (Temp 6-digit)</t>
  </si>
  <si>
    <t>สร้างใหม่โดย Admin (is_force_reset = 1)</t>
  </si>
  <si>
    <t>บัญชีที่ใช้อีเมลจริง (OTP / Email)</t>
  </si>
  <si>
    <t>chayanon.test@gmail.com</t>
  </si>
  <si>
    <t>อีเมลรับได้จริง สำหรับทดสอบ OTP และอีเมลแจ้งเตือน</t>
  </si>
  <si>
    <t>Device / OS</t>
  </si>
  <si>
    <t>Viewport (px)</t>
  </si>
  <si>
    <t>Smoke Test</t>
  </si>
  <si>
    <t>Full Test</t>
  </si>
  <si>
    <t>หมายเหตุ</t>
  </si>
  <si>
    <t>Windows 10/11</t>
  </si>
  <si>
    <t>Google Chrome (ล่าสุด)</t>
  </si>
  <si>
    <t>1920×1080</t>
  </si>
  <si>
    <t>แสดงผลและทำงานได้ปกติ ครบทุกฟีเจอร์</t>
  </si>
  <si>
    <t>Microsoft Edge (ล่าสุด)</t>
  </si>
  <si>
    <t>1366×768</t>
  </si>
  <si>
    <t>Windows / macOS</t>
  </si>
  <si>
    <t>Mozilla Firefox (ล่าสุด)</t>
  </si>
  <si>
    <t>1440×900</t>
  </si>
  <si>
    <t>macOS</t>
  </si>
  <si>
    <t>Safari (ล่าสุด)</t>
  </si>
  <si>
    <t>iPhone SE (iOS 16+)</t>
  </si>
  <si>
    <t>Safari</t>
  </si>
  <si>
    <t>375×667</t>
  </si>
  <si>
    <t>iPhone 13/14/15 (iOS 17+)</t>
  </si>
  <si>
    <t>390×844</t>
  </si>
  <si>
    <t>iPhone Pro Max</t>
  </si>
  <si>
    <t>Safari / Chrome</t>
  </si>
  <si>
    <t>430×932</t>
  </si>
  <si>
    <t>Android (Samsung Galaxy A/S)</t>
  </si>
  <si>
    <t>Chrome</t>
  </si>
  <si>
    <t>360×800</t>
  </si>
  <si>
    <t>Android (Pixel 7)</t>
  </si>
  <si>
    <t>412×915</t>
  </si>
  <si>
    <t>Android</t>
  </si>
  <si>
    <t>Samsung Internet</t>
  </si>
  <si>
    <t>Tablet</t>
  </si>
  <si>
    <t>iPad (iPadOS 16+)</t>
  </si>
  <si>
    <t>768×1024 / 1024×768</t>
  </si>
  <si>
    <t>Android Tablet</t>
  </si>
  <si>
    <t>800×1280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</si>
</sst>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8" x14ac:knownFonts="1">
    <font>
      <color theme="1"/>
      <family val="2"/>
      <scheme val="minor"/>
      <sz val="11"/>
      <name val="Calibri"/>
    </font>
    <font>
      <b/>
      <color rgb="FF1E293B"/>
      <sz val="16"/>
      <name val="Tahoma"/>
    </font>
    <font>
      <color rgb="FF64748B"/>
      <sz val="10"/>
      <name val="Tahoma"/>
    </font>
    <font>
      <b/>
      <sz val="10"/>
      <name val="Tahoma"/>
    </font>
    <font>
      <sz val="10"/>
      <name val="Tahoma"/>
    </font>
    <font>
      <b/>
      <color rgb="FFFFFFFF"/>
      <sz val="10"/>
      <name val="Tahoma"/>
    </font>
    <font>
      <b/>
      <color rgb="FF166534"/>
      <sz val="10"/>
      <name val="Tahoma"/>
    </font>
    <font>
      <b/>
      <color rgb="FF991B1B"/>
      <sz val="10"/>
      <name val="Tahoma"/>
    </font>
    <font>
      <b/>
      <color rgb="FF92400E"/>
      <sz val="10"/>
      <name val="Tahoma"/>
    </font>
    <font>
      <b/>
      <sz val="12"/>
      <name val="Tahoma"/>
    </font>
    <font>
      <b/>
      <color rgb="FFFFFFFF"/>
      <sz val="9"/>
      <name val="Tahoma"/>
    </font>
    <font>
      <sz val="9"/>
      <name val="Tahoma"/>
    </font>
    <font>
      <b/>
      <sz val="9"/>
      <name val="Tahoma"/>
    </font>
    <font>
      <b/>
      <color rgb="FFEA580C"/>
      <sz val="9"/>
      <name val="Tahoma"/>
    </font>
    <font>
      <b/>
      <color rgb="FFCA8A04"/>
      <sz val="9"/>
      <name val="Tahoma"/>
    </font>
    <font>
      <b/>
      <color rgb="FF15803D"/>
      <sz val="9"/>
      <name val="Tahoma"/>
    </font>
    <font>
      <b/>
      <color rgb="FFB91C1C"/>
      <sz val="9"/>
      <name val="Tahoma"/>
    </font>
    <font>
      <b/>
      <color rgb="FFFFFF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12" fillId="0" borderId="0" xfId="0" applyFont="1"/>
    <xf numFmtId="0" fontId="1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165" fontId="11" fillId="0" borderId="1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4" fillId="5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6" fillId="5" borderId="1" xfId="0" applyFont="1" applyFill="1" applyBorder="1" applyAlignment="1">
      <alignment horizontal="center" vertical="top" wrapText="1"/>
    </xf>
    <xf numFmtId="0" fontId="17" fillId="2" borderId="0" xfId="0" applyFont="1" applyFill="1" applyAlignment="1">
      <alignment horizontal="center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8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475569"/>
      </font>
      <fill>
        <patternFill patternType="solid">
          <bgColor rgb="FFE2E8F0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475569"/>
      </font>
      <fill>
        <patternFill patternType="solid">
          <bgColor rgb="FFE2E8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B2:Q55"/>
  <sheetFormatPr defaultRowHeight="15" outlineLevelRow="0" outlineLevelCol="0" x14ac:dyDescent="55"/>
  <cols>
    <col min="1" max="1" width="4" customWidth="1"/>
    <col min="2" max="2" width="38" customWidth="1"/>
    <col min="3" max="3" width="12" customWidth="1"/>
    <col min="4" max="8" width="10" customWidth="1"/>
    <col min="9" max="9" width="12" customWidth="1"/>
    <col min="10" max="10" width="4" customWidth="1"/>
    <col min="11" max="11" width="12" customWidth="1"/>
    <col min="12" max="16" width="10" customWidth="1"/>
    <col min="17" max="17" width="12" customWidth="1"/>
  </cols>
  <sheetData>
    <row r="2" spans="2:17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2:9" x14ac:dyDescent="0.25">
      <c r="B5" s="3" t="s">
        <v>2</v>
      </c>
      <c r="C5" s="4" t="s">
        <v>3</v>
      </c>
      <c r="D5" s="4"/>
      <c r="E5" s="4"/>
      <c r="F5" s="4"/>
      <c r="G5" s="4"/>
      <c r="H5" s="4"/>
      <c r="I5" s="4"/>
    </row>
    <row r="6" spans="2:9" x14ac:dyDescent="0.25">
      <c r="B6" s="3" t="s">
        <v>4</v>
      </c>
      <c r="C6" s="4" t="s">
        <v>5</v>
      </c>
      <c r="D6" s="4"/>
      <c r="E6" s="4"/>
      <c r="F6" s="4"/>
      <c r="G6" s="4"/>
      <c r="H6" s="4"/>
      <c r="I6" s="4"/>
    </row>
    <row r="7" spans="2:9" x14ac:dyDescent="0.25">
      <c r="B7" s="3" t="s">
        <v>6</v>
      </c>
      <c r="C7" s="4" t="s">
        <v>7</v>
      </c>
      <c r="D7" s="4"/>
      <c r="E7" s="4"/>
      <c r="F7" s="4"/>
      <c r="G7" s="4"/>
      <c r="H7" s="4"/>
      <c r="I7" s="4"/>
    </row>
    <row r="8" spans="2:9" x14ac:dyDescent="0.25">
      <c r="B8" s="3" t="s">
        <v>8</v>
      </c>
      <c r="C8" s="4" t="s">
        <v>9</v>
      </c>
      <c r="D8" s="4"/>
      <c r="E8" s="4"/>
      <c r="F8" s="4"/>
      <c r="G8" s="4"/>
      <c r="H8" s="4"/>
      <c r="I8" s="4"/>
    </row>
    <row r="9" spans="2:9" x14ac:dyDescent="0.25">
      <c r="B9" s="3" t="s">
        <v>10</v>
      </c>
      <c r="C9" s="4" t="s">
        <v>11</v>
      </c>
      <c r="D9" s="4"/>
      <c r="E9" s="4"/>
      <c r="F9" s="4"/>
      <c r="G9" s="4"/>
      <c r="H9" s="4"/>
      <c r="I9" s="4"/>
    </row>
    <row r="12" spans="2:9" x14ac:dyDescent="0.25"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</row>
    <row r="13" spans="2:9" x14ac:dyDescent="0.25">
      <c r="B13" s="4" t="s">
        <v>20</v>
      </c>
      <c r="C13" s="6">
        <f>COUNTA('Desktop Test Cases'!$A$2:$A$301)</f>
      </c>
      <c r="D13" s="7">
        <f>COUNTIF('Desktop Test Cases'!$M$2:$M$301,"Pass")</f>
      </c>
      <c r="E13" s="8">
        <f>COUNTIF('Desktop Test Cases'!$M$2:$M$301,"Fail")</f>
      </c>
      <c r="F13" s="9">
        <f>COUNTIF('Desktop Test Cases'!$M$2:$M$301,"Blocked")</f>
      </c>
      <c r="G13" s="6">
        <f>COUNTIF('Desktop Test Cases'!$M$2:$M$301,"N/A")</f>
      </c>
      <c r="H13" s="6">
        <f>COUNTIF('Desktop Test Cases'!$M$2:$M$301,"Not Run")</f>
      </c>
      <c r="I13" s="10">
        <f>IFERROR(D13/(C13-G13),0)</f>
      </c>
    </row>
    <row r="14" spans="2:9" x14ac:dyDescent="0.25">
      <c r="B14" s="4" t="s">
        <v>21</v>
      </c>
      <c r="C14" s="6">
        <f>COUNTA('Mobile Test Cases'!$A$2:$A$324)</f>
      </c>
      <c r="D14" s="7">
        <f>COUNTIF('Mobile Test Cases'!$M$2:$M$324,"Pass")</f>
      </c>
      <c r="E14" s="8">
        <f>COUNTIF('Mobile Test Cases'!$M$2:$M$324,"Fail")</f>
      </c>
      <c r="F14" s="9">
        <f>COUNTIF('Mobile Test Cases'!$M$2:$M$324,"Blocked")</f>
      </c>
      <c r="G14" s="6">
        <f>COUNTIF('Mobile Test Cases'!$M$2:$M$324,"N/A")</f>
      </c>
      <c r="H14" s="6">
        <f>COUNTIF('Mobile Test Cases'!$M$2:$M$324,"Not Run")</f>
      </c>
      <c r="I14" s="10">
        <f>IFERROR(D14/(C14-G14),0)</f>
      </c>
    </row>
    <row r="15" spans="2:9" x14ac:dyDescent="0.25">
      <c r="B15" s="3" t="s">
        <v>22</v>
      </c>
      <c r="C15" s="11">
        <f>SUM(C13:C14)</f>
      </c>
      <c r="D15" s="7">
        <f>SUM(D13:D14)</f>
      </c>
      <c r="E15" s="8">
        <f>SUM(E13:E14)</f>
      </c>
      <c r="F15" s="9">
        <f>SUM(F13:F14)</f>
      </c>
      <c r="G15" s="11">
        <f>SUM(G13:G14)</f>
      </c>
      <c r="H15" s="11">
        <f>SUM(H13:H14)</f>
      </c>
      <c r="I15" s="12">
        <f>IFERROR(D15/(C15-G15),0)</f>
      </c>
    </row>
    <row r="17" spans="2:2" x14ac:dyDescent="0.25">
      <c r="B17" s="13" t="s">
        <v>23</v>
      </c>
    </row>
    <row r="18" spans="2:16" x14ac:dyDescent="0.25">
      <c r="B18" s="14" t="s">
        <v>24</v>
      </c>
      <c r="C18" s="15" t="s">
        <v>25</v>
      </c>
      <c r="D18" s="15" t="s">
        <v>26</v>
      </c>
      <c r="E18" s="15" t="s">
        <v>27</v>
      </c>
      <c r="F18" s="15" t="s">
        <v>28</v>
      </c>
      <c r="G18" s="15" t="s">
        <v>29</v>
      </c>
      <c r="H18" s="15" t="s">
        <v>30</v>
      </c>
      <c r="K18" s="16" t="s">
        <v>31</v>
      </c>
      <c r="L18" s="16" t="s">
        <v>32</v>
      </c>
      <c r="M18" s="16" t="s">
        <v>33</v>
      </c>
      <c r="N18" s="16" t="s">
        <v>34</v>
      </c>
      <c r="O18" s="16" t="s">
        <v>35</v>
      </c>
      <c r="P18" s="16" t="s">
        <v>36</v>
      </c>
    </row>
    <row r="19" spans="2:16" x14ac:dyDescent="0.25">
      <c r="B19" s="17" t="s">
        <v>37</v>
      </c>
      <c r="C19" s="18">
        <f>COUNTIF('Desktop Test Cases'!$B$2:$B$301,B19)</f>
      </c>
      <c r="D19" s="18">
        <f>COUNTIFS('Desktop Test Cases'!$B$2:$B$301,B19,'Desktop Test Cases'!$M$2:$M$301,"Pass")</f>
      </c>
      <c r="E19" s="18">
        <f>COUNTIFS('Desktop Test Cases'!$B$2:$B$301,B19,'Desktop Test Cases'!$M$2:$M$301,"Fail")</f>
      </c>
      <c r="F19" s="18">
        <f>COUNTIFS('Desktop Test Cases'!$B$2:$B$301,B19,'Desktop Test Cases'!$M$2:$M$301,"Blocked")</f>
      </c>
      <c r="G19" s="18">
        <f>COUNTIFS('Desktop Test Cases'!$B$2:$B$301,B19,'Desktop Test Cases'!$M$2:$M$301,"Not Run")</f>
      </c>
      <c r="H19" s="19">
        <f>IFERROR(D19/C19,"-")</f>
      </c>
      <c r="K19" s="18">
        <f>COUNTIF('Mobile Test Cases'!$B$2:$B$324,B19)</f>
      </c>
      <c r="L19" s="18">
        <f>COUNTIFS('Mobile Test Cases'!$B$2:$B$324,B19,'Mobile Test Cases'!$M$2:$M$324,"Pass")</f>
      </c>
      <c r="M19" s="18">
        <f>COUNTIFS('Mobile Test Cases'!$B$2:$B$324,B19,'Mobile Test Cases'!$M$2:$M$324,"Fail")</f>
      </c>
      <c r="N19" s="18">
        <f>COUNTIFS('Mobile Test Cases'!$B$2:$B$324,B19,'Mobile Test Cases'!$M$2:$M$324,"Blocked")</f>
      </c>
      <c r="O19" s="18">
        <f>COUNTIFS('Mobile Test Cases'!$B$2:$B$324,B19,'Mobile Test Cases'!$M$2:$M$324,"Not Run")</f>
      </c>
      <c r="P19" s="19">
        <f>IFERROR(L19/K19,"-")</f>
      </c>
    </row>
    <row r="20" spans="2:16" x14ac:dyDescent="0.25">
      <c r="B20" s="17" t="s">
        <v>38</v>
      </c>
      <c r="C20" s="18">
        <f>COUNTIF('Desktop Test Cases'!$B$2:$B$301,B20)</f>
      </c>
      <c r="D20" s="18">
        <f>COUNTIFS('Desktop Test Cases'!$B$2:$B$301,B20,'Desktop Test Cases'!$M$2:$M$301,"Pass")</f>
      </c>
      <c r="E20" s="18">
        <f>COUNTIFS('Desktop Test Cases'!$B$2:$B$301,B20,'Desktop Test Cases'!$M$2:$M$301,"Fail")</f>
      </c>
      <c r="F20" s="18">
        <f>COUNTIFS('Desktop Test Cases'!$B$2:$B$301,B20,'Desktop Test Cases'!$M$2:$M$301,"Blocked")</f>
      </c>
      <c r="G20" s="18">
        <f>COUNTIFS('Desktop Test Cases'!$B$2:$B$301,B20,'Desktop Test Cases'!$M$2:$M$301,"Not Run")</f>
      </c>
      <c r="H20" s="19">
        <f>IFERROR(D20/C20,"-")</f>
      </c>
      <c r="K20" s="18">
        <f>COUNTIF('Mobile Test Cases'!$B$2:$B$324,B20)</f>
      </c>
      <c r="L20" s="18">
        <f>COUNTIFS('Mobile Test Cases'!$B$2:$B$324,B20,'Mobile Test Cases'!$M$2:$M$324,"Pass")</f>
      </c>
      <c r="M20" s="18">
        <f>COUNTIFS('Mobile Test Cases'!$B$2:$B$324,B20,'Mobile Test Cases'!$M$2:$M$324,"Fail")</f>
      </c>
      <c r="N20" s="18">
        <f>COUNTIFS('Mobile Test Cases'!$B$2:$B$324,B20,'Mobile Test Cases'!$M$2:$M$324,"Blocked")</f>
      </c>
      <c r="O20" s="18">
        <f>COUNTIFS('Mobile Test Cases'!$B$2:$B$324,B20,'Mobile Test Cases'!$M$2:$M$324,"Not Run")</f>
      </c>
      <c r="P20" s="19">
        <f>IFERROR(L20/K20,"-")</f>
      </c>
    </row>
    <row r="21" spans="2:16" x14ac:dyDescent="0.25">
      <c r="B21" s="17" t="s">
        <v>39</v>
      </c>
      <c r="C21" s="18">
        <f>COUNTIF('Desktop Test Cases'!$B$2:$B$301,B21)</f>
      </c>
      <c r="D21" s="18">
        <f>COUNTIFS('Desktop Test Cases'!$B$2:$B$301,B21,'Desktop Test Cases'!$M$2:$M$301,"Pass")</f>
      </c>
      <c r="E21" s="18">
        <f>COUNTIFS('Desktop Test Cases'!$B$2:$B$301,B21,'Desktop Test Cases'!$M$2:$M$301,"Fail")</f>
      </c>
      <c r="F21" s="18">
        <f>COUNTIFS('Desktop Test Cases'!$B$2:$B$301,B21,'Desktop Test Cases'!$M$2:$M$301,"Blocked")</f>
      </c>
      <c r="G21" s="18">
        <f>COUNTIFS('Desktop Test Cases'!$B$2:$B$301,B21,'Desktop Test Cases'!$M$2:$M$301,"Not Run")</f>
      </c>
      <c r="H21" s="19">
        <f>IFERROR(D21/C21,"-")</f>
      </c>
      <c r="K21" s="18">
        <f>COUNTIF('Mobile Test Cases'!$B$2:$B$324,B21)</f>
      </c>
      <c r="L21" s="18">
        <f>COUNTIFS('Mobile Test Cases'!$B$2:$B$324,B21,'Mobile Test Cases'!$M$2:$M$324,"Pass")</f>
      </c>
      <c r="M21" s="18">
        <f>COUNTIFS('Mobile Test Cases'!$B$2:$B$324,B21,'Mobile Test Cases'!$M$2:$M$324,"Fail")</f>
      </c>
      <c r="N21" s="18">
        <f>COUNTIFS('Mobile Test Cases'!$B$2:$B$324,B21,'Mobile Test Cases'!$M$2:$M$324,"Blocked")</f>
      </c>
      <c r="O21" s="18">
        <f>COUNTIFS('Mobile Test Cases'!$B$2:$B$324,B21,'Mobile Test Cases'!$M$2:$M$324,"Not Run")</f>
      </c>
      <c r="P21" s="19">
        <f>IFERROR(L21/K21,"-")</f>
      </c>
    </row>
    <row r="22" spans="2:16" x14ac:dyDescent="0.25">
      <c r="B22" s="17" t="s">
        <v>40</v>
      </c>
      <c r="C22" s="18">
        <f>COUNTIF('Desktop Test Cases'!$B$2:$B$301,B22)</f>
      </c>
      <c r="D22" s="18">
        <f>COUNTIFS('Desktop Test Cases'!$B$2:$B$301,B22,'Desktop Test Cases'!$M$2:$M$301,"Pass")</f>
      </c>
      <c r="E22" s="18">
        <f>COUNTIFS('Desktop Test Cases'!$B$2:$B$301,B22,'Desktop Test Cases'!$M$2:$M$301,"Fail")</f>
      </c>
      <c r="F22" s="18">
        <f>COUNTIFS('Desktop Test Cases'!$B$2:$B$301,B22,'Desktop Test Cases'!$M$2:$M$301,"Blocked")</f>
      </c>
      <c r="G22" s="18">
        <f>COUNTIFS('Desktop Test Cases'!$B$2:$B$301,B22,'Desktop Test Cases'!$M$2:$M$301,"Not Run")</f>
      </c>
      <c r="H22" s="19">
        <f>IFERROR(D22/C22,"-")</f>
      </c>
      <c r="K22" s="18">
        <f>COUNTIF('Mobile Test Cases'!$B$2:$B$324,B22)</f>
      </c>
      <c r="L22" s="18">
        <f>COUNTIFS('Mobile Test Cases'!$B$2:$B$324,B22,'Mobile Test Cases'!$M$2:$M$324,"Pass")</f>
      </c>
      <c r="M22" s="18">
        <f>COUNTIFS('Mobile Test Cases'!$B$2:$B$324,B22,'Mobile Test Cases'!$M$2:$M$324,"Fail")</f>
      </c>
      <c r="N22" s="18">
        <f>COUNTIFS('Mobile Test Cases'!$B$2:$B$324,B22,'Mobile Test Cases'!$M$2:$M$324,"Blocked")</f>
      </c>
      <c r="O22" s="18">
        <f>COUNTIFS('Mobile Test Cases'!$B$2:$B$324,B22,'Mobile Test Cases'!$M$2:$M$324,"Not Run")</f>
      </c>
      <c r="P22" s="19">
        <f>IFERROR(L22/K22,"-")</f>
      </c>
    </row>
    <row r="23" spans="2:16" x14ac:dyDescent="0.25">
      <c r="B23" s="17" t="s">
        <v>41</v>
      </c>
      <c r="C23" s="18">
        <f>COUNTIF('Desktop Test Cases'!$B$2:$B$301,B23)</f>
      </c>
      <c r="D23" s="18">
        <f>COUNTIFS('Desktop Test Cases'!$B$2:$B$301,B23,'Desktop Test Cases'!$M$2:$M$301,"Pass")</f>
      </c>
      <c r="E23" s="18">
        <f>COUNTIFS('Desktop Test Cases'!$B$2:$B$301,B23,'Desktop Test Cases'!$M$2:$M$301,"Fail")</f>
      </c>
      <c r="F23" s="18">
        <f>COUNTIFS('Desktop Test Cases'!$B$2:$B$301,B23,'Desktop Test Cases'!$M$2:$M$301,"Blocked")</f>
      </c>
      <c r="G23" s="18">
        <f>COUNTIFS('Desktop Test Cases'!$B$2:$B$301,B23,'Desktop Test Cases'!$M$2:$M$301,"Not Run")</f>
      </c>
      <c r="H23" s="19">
        <f>IFERROR(D23/C23,"-")</f>
      </c>
      <c r="K23" s="18">
        <f>COUNTIF('Mobile Test Cases'!$B$2:$B$324,B23)</f>
      </c>
      <c r="L23" s="18">
        <f>COUNTIFS('Mobile Test Cases'!$B$2:$B$324,B23,'Mobile Test Cases'!$M$2:$M$324,"Pass")</f>
      </c>
      <c r="M23" s="18">
        <f>COUNTIFS('Mobile Test Cases'!$B$2:$B$324,B23,'Mobile Test Cases'!$M$2:$M$324,"Fail")</f>
      </c>
      <c r="N23" s="18">
        <f>COUNTIFS('Mobile Test Cases'!$B$2:$B$324,B23,'Mobile Test Cases'!$M$2:$M$324,"Blocked")</f>
      </c>
      <c r="O23" s="18">
        <f>COUNTIFS('Mobile Test Cases'!$B$2:$B$324,B23,'Mobile Test Cases'!$M$2:$M$324,"Not Run")</f>
      </c>
      <c r="P23" s="19">
        <f>IFERROR(L23/K23,"-")</f>
      </c>
    </row>
    <row r="24" spans="2:16" x14ac:dyDescent="0.25">
      <c r="B24" s="17" t="s">
        <v>42</v>
      </c>
      <c r="C24" s="18">
        <f>COUNTIF('Desktop Test Cases'!$B$2:$B$301,B24)</f>
      </c>
      <c r="D24" s="18">
        <f>COUNTIFS('Desktop Test Cases'!$B$2:$B$301,B24,'Desktop Test Cases'!$M$2:$M$301,"Pass")</f>
      </c>
      <c r="E24" s="18">
        <f>COUNTIFS('Desktop Test Cases'!$B$2:$B$301,B24,'Desktop Test Cases'!$M$2:$M$301,"Fail")</f>
      </c>
      <c r="F24" s="18">
        <f>COUNTIFS('Desktop Test Cases'!$B$2:$B$301,B24,'Desktop Test Cases'!$M$2:$M$301,"Blocked")</f>
      </c>
      <c r="G24" s="18">
        <f>COUNTIFS('Desktop Test Cases'!$B$2:$B$301,B24,'Desktop Test Cases'!$M$2:$M$301,"Not Run")</f>
      </c>
      <c r="H24" s="19">
        <f>IFERROR(D24/C24,"-")</f>
      </c>
      <c r="K24" s="18">
        <f>COUNTIF('Mobile Test Cases'!$B$2:$B$324,B24)</f>
      </c>
      <c r="L24" s="18">
        <f>COUNTIFS('Mobile Test Cases'!$B$2:$B$324,B24,'Mobile Test Cases'!$M$2:$M$324,"Pass")</f>
      </c>
      <c r="M24" s="18">
        <f>COUNTIFS('Mobile Test Cases'!$B$2:$B$324,B24,'Mobile Test Cases'!$M$2:$M$324,"Fail")</f>
      </c>
      <c r="N24" s="18">
        <f>COUNTIFS('Mobile Test Cases'!$B$2:$B$324,B24,'Mobile Test Cases'!$M$2:$M$324,"Blocked")</f>
      </c>
      <c r="O24" s="18">
        <f>COUNTIFS('Mobile Test Cases'!$B$2:$B$324,B24,'Mobile Test Cases'!$M$2:$M$324,"Not Run")</f>
      </c>
      <c r="P24" s="19">
        <f>IFERROR(L24/K24,"-")</f>
      </c>
    </row>
    <row r="25" spans="2:16" x14ac:dyDescent="0.25">
      <c r="B25" s="17" t="s">
        <v>43</v>
      </c>
      <c r="C25" s="18">
        <f>COUNTIF('Desktop Test Cases'!$B$2:$B$301,B25)</f>
      </c>
      <c r="D25" s="18">
        <f>COUNTIFS('Desktop Test Cases'!$B$2:$B$301,B25,'Desktop Test Cases'!$M$2:$M$301,"Pass")</f>
      </c>
      <c r="E25" s="18">
        <f>COUNTIFS('Desktop Test Cases'!$B$2:$B$301,B25,'Desktop Test Cases'!$M$2:$M$301,"Fail")</f>
      </c>
      <c r="F25" s="18">
        <f>COUNTIFS('Desktop Test Cases'!$B$2:$B$301,B25,'Desktop Test Cases'!$M$2:$M$301,"Blocked")</f>
      </c>
      <c r="G25" s="18">
        <f>COUNTIFS('Desktop Test Cases'!$B$2:$B$301,B25,'Desktop Test Cases'!$M$2:$M$301,"Not Run")</f>
      </c>
      <c r="H25" s="19">
        <f>IFERROR(D25/C25,"-")</f>
      </c>
      <c r="K25" s="18">
        <f>COUNTIF('Mobile Test Cases'!$B$2:$B$324,B25)</f>
      </c>
      <c r="L25" s="18">
        <f>COUNTIFS('Mobile Test Cases'!$B$2:$B$324,B25,'Mobile Test Cases'!$M$2:$M$324,"Pass")</f>
      </c>
      <c r="M25" s="18">
        <f>COUNTIFS('Mobile Test Cases'!$B$2:$B$324,B25,'Mobile Test Cases'!$M$2:$M$324,"Fail")</f>
      </c>
      <c r="N25" s="18">
        <f>COUNTIFS('Mobile Test Cases'!$B$2:$B$324,B25,'Mobile Test Cases'!$M$2:$M$324,"Blocked")</f>
      </c>
      <c r="O25" s="18">
        <f>COUNTIFS('Mobile Test Cases'!$B$2:$B$324,B25,'Mobile Test Cases'!$M$2:$M$324,"Not Run")</f>
      </c>
      <c r="P25" s="19">
        <f>IFERROR(L25/K25,"-")</f>
      </c>
    </row>
    <row r="26" spans="2:16" x14ac:dyDescent="0.25">
      <c r="B26" s="17" t="s">
        <v>44</v>
      </c>
      <c r="C26" s="18">
        <f>COUNTIF('Desktop Test Cases'!$B$2:$B$301,B26)</f>
      </c>
      <c r="D26" s="18">
        <f>COUNTIFS('Desktop Test Cases'!$B$2:$B$301,B26,'Desktop Test Cases'!$M$2:$M$301,"Pass")</f>
      </c>
      <c r="E26" s="18">
        <f>COUNTIFS('Desktop Test Cases'!$B$2:$B$301,B26,'Desktop Test Cases'!$M$2:$M$301,"Fail")</f>
      </c>
      <c r="F26" s="18">
        <f>COUNTIFS('Desktop Test Cases'!$B$2:$B$301,B26,'Desktop Test Cases'!$M$2:$M$301,"Blocked")</f>
      </c>
      <c r="G26" s="18">
        <f>COUNTIFS('Desktop Test Cases'!$B$2:$B$301,B26,'Desktop Test Cases'!$M$2:$M$301,"Not Run")</f>
      </c>
      <c r="H26" s="19">
        <f>IFERROR(D26/C26,"-")</f>
      </c>
      <c r="K26" s="18">
        <f>COUNTIF('Mobile Test Cases'!$B$2:$B$324,B26)</f>
      </c>
      <c r="L26" s="18">
        <f>COUNTIFS('Mobile Test Cases'!$B$2:$B$324,B26,'Mobile Test Cases'!$M$2:$M$324,"Pass")</f>
      </c>
      <c r="M26" s="18">
        <f>COUNTIFS('Mobile Test Cases'!$B$2:$B$324,B26,'Mobile Test Cases'!$M$2:$M$324,"Fail")</f>
      </c>
      <c r="N26" s="18">
        <f>COUNTIFS('Mobile Test Cases'!$B$2:$B$324,B26,'Mobile Test Cases'!$M$2:$M$324,"Blocked")</f>
      </c>
      <c r="O26" s="18">
        <f>COUNTIFS('Mobile Test Cases'!$B$2:$B$324,B26,'Mobile Test Cases'!$M$2:$M$324,"Not Run")</f>
      </c>
      <c r="P26" s="19">
        <f>IFERROR(L26/K26,"-")</f>
      </c>
    </row>
    <row r="27" spans="2:16" x14ac:dyDescent="0.25">
      <c r="B27" s="17" t="s">
        <v>45</v>
      </c>
      <c r="C27" s="18">
        <f>COUNTIF('Desktop Test Cases'!$B$2:$B$301,B27)</f>
      </c>
      <c r="D27" s="18">
        <f>COUNTIFS('Desktop Test Cases'!$B$2:$B$301,B27,'Desktop Test Cases'!$M$2:$M$301,"Pass")</f>
      </c>
      <c r="E27" s="18">
        <f>COUNTIFS('Desktop Test Cases'!$B$2:$B$301,B27,'Desktop Test Cases'!$M$2:$M$301,"Fail")</f>
      </c>
      <c r="F27" s="18">
        <f>COUNTIFS('Desktop Test Cases'!$B$2:$B$301,B27,'Desktop Test Cases'!$M$2:$M$301,"Blocked")</f>
      </c>
      <c r="G27" s="18">
        <f>COUNTIFS('Desktop Test Cases'!$B$2:$B$301,B27,'Desktop Test Cases'!$M$2:$M$301,"Not Run")</f>
      </c>
      <c r="H27" s="19">
        <f>IFERROR(D27/C27,"-")</f>
      </c>
      <c r="K27" s="18">
        <f>COUNTIF('Mobile Test Cases'!$B$2:$B$324,B27)</f>
      </c>
      <c r="L27" s="18">
        <f>COUNTIFS('Mobile Test Cases'!$B$2:$B$324,B27,'Mobile Test Cases'!$M$2:$M$324,"Pass")</f>
      </c>
      <c r="M27" s="18">
        <f>COUNTIFS('Mobile Test Cases'!$B$2:$B$324,B27,'Mobile Test Cases'!$M$2:$M$324,"Fail")</f>
      </c>
      <c r="N27" s="18">
        <f>COUNTIFS('Mobile Test Cases'!$B$2:$B$324,B27,'Mobile Test Cases'!$M$2:$M$324,"Blocked")</f>
      </c>
      <c r="O27" s="18">
        <f>COUNTIFS('Mobile Test Cases'!$B$2:$B$324,B27,'Mobile Test Cases'!$M$2:$M$324,"Not Run")</f>
      </c>
      <c r="P27" s="19">
        <f>IFERROR(L27/K27,"-")</f>
      </c>
    </row>
    <row r="28" spans="2:16" x14ac:dyDescent="0.25">
      <c r="B28" s="17" t="s">
        <v>46</v>
      </c>
      <c r="C28" s="18">
        <f>COUNTIF('Desktop Test Cases'!$B$2:$B$301,B28)</f>
      </c>
      <c r="D28" s="18">
        <f>COUNTIFS('Desktop Test Cases'!$B$2:$B$301,B28,'Desktop Test Cases'!$M$2:$M$301,"Pass")</f>
      </c>
      <c r="E28" s="18">
        <f>COUNTIFS('Desktop Test Cases'!$B$2:$B$301,B28,'Desktop Test Cases'!$M$2:$M$301,"Fail")</f>
      </c>
      <c r="F28" s="18">
        <f>COUNTIFS('Desktop Test Cases'!$B$2:$B$301,B28,'Desktop Test Cases'!$M$2:$M$301,"Blocked")</f>
      </c>
      <c r="G28" s="18">
        <f>COUNTIFS('Desktop Test Cases'!$B$2:$B$301,B28,'Desktop Test Cases'!$M$2:$M$301,"Not Run")</f>
      </c>
      <c r="H28" s="19">
        <f>IFERROR(D28/C28,"-")</f>
      </c>
      <c r="K28" s="18">
        <f>COUNTIF('Mobile Test Cases'!$B$2:$B$324,B28)</f>
      </c>
      <c r="L28" s="18">
        <f>COUNTIFS('Mobile Test Cases'!$B$2:$B$324,B28,'Mobile Test Cases'!$M$2:$M$324,"Pass")</f>
      </c>
      <c r="M28" s="18">
        <f>COUNTIFS('Mobile Test Cases'!$B$2:$B$324,B28,'Mobile Test Cases'!$M$2:$M$324,"Fail")</f>
      </c>
      <c r="N28" s="18">
        <f>COUNTIFS('Mobile Test Cases'!$B$2:$B$324,B28,'Mobile Test Cases'!$M$2:$M$324,"Blocked")</f>
      </c>
      <c r="O28" s="18">
        <f>COUNTIFS('Mobile Test Cases'!$B$2:$B$324,B28,'Mobile Test Cases'!$M$2:$M$324,"Not Run")</f>
      </c>
      <c r="P28" s="19">
        <f>IFERROR(L28/K28,"-")</f>
      </c>
    </row>
    <row r="29" spans="2:16" x14ac:dyDescent="0.25">
      <c r="B29" s="17" t="s">
        <v>47</v>
      </c>
      <c r="C29" s="18">
        <f>COUNTIF('Desktop Test Cases'!$B$2:$B$301,B29)</f>
      </c>
      <c r="D29" s="18">
        <f>COUNTIFS('Desktop Test Cases'!$B$2:$B$301,B29,'Desktop Test Cases'!$M$2:$M$301,"Pass")</f>
      </c>
      <c r="E29" s="18">
        <f>COUNTIFS('Desktop Test Cases'!$B$2:$B$301,B29,'Desktop Test Cases'!$M$2:$M$301,"Fail")</f>
      </c>
      <c r="F29" s="18">
        <f>COUNTIFS('Desktop Test Cases'!$B$2:$B$301,B29,'Desktop Test Cases'!$M$2:$M$301,"Blocked")</f>
      </c>
      <c r="G29" s="18">
        <f>COUNTIFS('Desktop Test Cases'!$B$2:$B$301,B29,'Desktop Test Cases'!$M$2:$M$301,"Not Run")</f>
      </c>
      <c r="H29" s="19">
        <f>IFERROR(D29/C29,"-")</f>
      </c>
      <c r="K29" s="18">
        <f>COUNTIF('Mobile Test Cases'!$B$2:$B$324,B29)</f>
      </c>
      <c r="L29" s="18">
        <f>COUNTIFS('Mobile Test Cases'!$B$2:$B$324,B29,'Mobile Test Cases'!$M$2:$M$324,"Pass")</f>
      </c>
      <c r="M29" s="18">
        <f>COUNTIFS('Mobile Test Cases'!$B$2:$B$324,B29,'Mobile Test Cases'!$M$2:$M$324,"Fail")</f>
      </c>
      <c r="N29" s="18">
        <f>COUNTIFS('Mobile Test Cases'!$B$2:$B$324,B29,'Mobile Test Cases'!$M$2:$M$324,"Blocked")</f>
      </c>
      <c r="O29" s="18">
        <f>COUNTIFS('Mobile Test Cases'!$B$2:$B$324,B29,'Mobile Test Cases'!$M$2:$M$324,"Not Run")</f>
      </c>
      <c r="P29" s="19">
        <f>IFERROR(L29/K29,"-")</f>
      </c>
    </row>
    <row r="30" spans="2:16" x14ac:dyDescent="0.25">
      <c r="B30" s="17" t="s">
        <v>48</v>
      </c>
      <c r="C30" s="18">
        <f>COUNTIF('Desktop Test Cases'!$B$2:$B$301,B30)</f>
      </c>
      <c r="D30" s="18">
        <f>COUNTIFS('Desktop Test Cases'!$B$2:$B$301,B30,'Desktop Test Cases'!$M$2:$M$301,"Pass")</f>
      </c>
      <c r="E30" s="18">
        <f>COUNTIFS('Desktop Test Cases'!$B$2:$B$301,B30,'Desktop Test Cases'!$M$2:$M$301,"Fail")</f>
      </c>
      <c r="F30" s="18">
        <f>COUNTIFS('Desktop Test Cases'!$B$2:$B$301,B30,'Desktop Test Cases'!$M$2:$M$301,"Blocked")</f>
      </c>
      <c r="G30" s="18">
        <f>COUNTIFS('Desktop Test Cases'!$B$2:$B$301,B30,'Desktop Test Cases'!$M$2:$M$301,"Not Run")</f>
      </c>
      <c r="H30" s="19">
        <f>IFERROR(D30/C30,"-")</f>
      </c>
      <c r="K30" s="18">
        <f>COUNTIF('Mobile Test Cases'!$B$2:$B$324,B30)</f>
      </c>
      <c r="L30" s="18">
        <f>COUNTIFS('Mobile Test Cases'!$B$2:$B$324,B30,'Mobile Test Cases'!$M$2:$M$324,"Pass")</f>
      </c>
      <c r="M30" s="18">
        <f>COUNTIFS('Mobile Test Cases'!$B$2:$B$324,B30,'Mobile Test Cases'!$M$2:$M$324,"Fail")</f>
      </c>
      <c r="N30" s="18">
        <f>COUNTIFS('Mobile Test Cases'!$B$2:$B$324,B30,'Mobile Test Cases'!$M$2:$M$324,"Blocked")</f>
      </c>
      <c r="O30" s="18">
        <f>COUNTIFS('Mobile Test Cases'!$B$2:$B$324,B30,'Mobile Test Cases'!$M$2:$M$324,"Not Run")</f>
      </c>
      <c r="P30" s="19">
        <f>IFERROR(L30/K30,"-")</f>
      </c>
    </row>
    <row r="31" spans="2:16" x14ac:dyDescent="0.25">
      <c r="B31" s="17" t="s">
        <v>49</v>
      </c>
      <c r="C31" s="18">
        <f>COUNTIF('Desktop Test Cases'!$B$2:$B$301,B31)</f>
      </c>
      <c r="D31" s="18">
        <f>COUNTIFS('Desktop Test Cases'!$B$2:$B$301,B31,'Desktop Test Cases'!$M$2:$M$301,"Pass")</f>
      </c>
      <c r="E31" s="18">
        <f>COUNTIFS('Desktop Test Cases'!$B$2:$B$301,B31,'Desktop Test Cases'!$M$2:$M$301,"Fail")</f>
      </c>
      <c r="F31" s="18">
        <f>COUNTIFS('Desktop Test Cases'!$B$2:$B$301,B31,'Desktop Test Cases'!$M$2:$M$301,"Blocked")</f>
      </c>
      <c r="G31" s="18">
        <f>COUNTIFS('Desktop Test Cases'!$B$2:$B$301,B31,'Desktop Test Cases'!$M$2:$M$301,"Not Run")</f>
      </c>
      <c r="H31" s="19">
        <f>IFERROR(D31/C31,"-")</f>
      </c>
      <c r="K31" s="18">
        <f>COUNTIF('Mobile Test Cases'!$B$2:$B$324,B31)</f>
      </c>
      <c r="L31" s="18">
        <f>COUNTIFS('Mobile Test Cases'!$B$2:$B$324,B31,'Mobile Test Cases'!$M$2:$M$324,"Pass")</f>
      </c>
      <c r="M31" s="18">
        <f>COUNTIFS('Mobile Test Cases'!$B$2:$B$324,B31,'Mobile Test Cases'!$M$2:$M$324,"Fail")</f>
      </c>
      <c r="N31" s="18">
        <f>COUNTIFS('Mobile Test Cases'!$B$2:$B$324,B31,'Mobile Test Cases'!$M$2:$M$324,"Blocked")</f>
      </c>
      <c r="O31" s="18">
        <f>COUNTIFS('Mobile Test Cases'!$B$2:$B$324,B31,'Mobile Test Cases'!$M$2:$M$324,"Not Run")</f>
      </c>
      <c r="P31" s="19">
        <f>IFERROR(L31/K31,"-")</f>
      </c>
    </row>
    <row r="32" spans="2:16" x14ac:dyDescent="0.25">
      <c r="B32" s="17" t="s">
        <v>50</v>
      </c>
      <c r="C32" s="18">
        <f>COUNTIF('Desktop Test Cases'!$B$2:$B$301,B32)</f>
      </c>
      <c r="D32" s="18">
        <f>COUNTIFS('Desktop Test Cases'!$B$2:$B$301,B32,'Desktop Test Cases'!$M$2:$M$301,"Pass")</f>
      </c>
      <c r="E32" s="18">
        <f>COUNTIFS('Desktop Test Cases'!$B$2:$B$301,B32,'Desktop Test Cases'!$M$2:$M$301,"Fail")</f>
      </c>
      <c r="F32" s="18">
        <f>COUNTIFS('Desktop Test Cases'!$B$2:$B$301,B32,'Desktop Test Cases'!$M$2:$M$301,"Blocked")</f>
      </c>
      <c r="G32" s="18">
        <f>COUNTIFS('Desktop Test Cases'!$B$2:$B$301,B32,'Desktop Test Cases'!$M$2:$M$301,"Not Run")</f>
      </c>
      <c r="H32" s="19">
        <f>IFERROR(D32/C32,"-")</f>
      </c>
      <c r="K32" s="18">
        <f>COUNTIF('Mobile Test Cases'!$B$2:$B$324,B32)</f>
      </c>
      <c r="L32" s="18">
        <f>COUNTIFS('Mobile Test Cases'!$B$2:$B$324,B32,'Mobile Test Cases'!$M$2:$M$324,"Pass")</f>
      </c>
      <c r="M32" s="18">
        <f>COUNTIFS('Mobile Test Cases'!$B$2:$B$324,B32,'Mobile Test Cases'!$M$2:$M$324,"Fail")</f>
      </c>
      <c r="N32" s="18">
        <f>COUNTIFS('Mobile Test Cases'!$B$2:$B$324,B32,'Mobile Test Cases'!$M$2:$M$324,"Blocked")</f>
      </c>
      <c r="O32" s="18">
        <f>COUNTIFS('Mobile Test Cases'!$B$2:$B$324,B32,'Mobile Test Cases'!$M$2:$M$324,"Not Run")</f>
      </c>
      <c r="P32" s="19">
        <f>IFERROR(L32/K32,"-")</f>
      </c>
    </row>
    <row r="33" spans="2:16" x14ac:dyDescent="0.25">
      <c r="B33" s="17" t="s">
        <v>51</v>
      </c>
      <c r="C33" s="18">
        <f>COUNTIF('Desktop Test Cases'!$B$2:$B$301,B33)</f>
      </c>
      <c r="D33" s="18">
        <f>COUNTIFS('Desktop Test Cases'!$B$2:$B$301,B33,'Desktop Test Cases'!$M$2:$M$301,"Pass")</f>
      </c>
      <c r="E33" s="18">
        <f>COUNTIFS('Desktop Test Cases'!$B$2:$B$301,B33,'Desktop Test Cases'!$M$2:$M$301,"Fail")</f>
      </c>
      <c r="F33" s="18">
        <f>COUNTIFS('Desktop Test Cases'!$B$2:$B$301,B33,'Desktop Test Cases'!$M$2:$M$301,"Blocked")</f>
      </c>
      <c r="G33" s="18">
        <f>COUNTIFS('Desktop Test Cases'!$B$2:$B$301,B33,'Desktop Test Cases'!$M$2:$M$301,"Not Run")</f>
      </c>
      <c r="H33" s="19">
        <f>IFERROR(D33/C33,"-")</f>
      </c>
      <c r="K33" s="18">
        <f>COUNTIF('Mobile Test Cases'!$B$2:$B$324,B33)</f>
      </c>
      <c r="L33" s="18">
        <f>COUNTIFS('Mobile Test Cases'!$B$2:$B$324,B33,'Mobile Test Cases'!$M$2:$M$324,"Pass")</f>
      </c>
      <c r="M33" s="18">
        <f>COUNTIFS('Mobile Test Cases'!$B$2:$B$324,B33,'Mobile Test Cases'!$M$2:$M$324,"Fail")</f>
      </c>
      <c r="N33" s="18">
        <f>COUNTIFS('Mobile Test Cases'!$B$2:$B$324,B33,'Mobile Test Cases'!$M$2:$M$324,"Blocked")</f>
      </c>
      <c r="O33" s="18">
        <f>COUNTIFS('Mobile Test Cases'!$B$2:$B$324,B33,'Mobile Test Cases'!$M$2:$M$324,"Not Run")</f>
      </c>
      <c r="P33" s="19">
        <f>IFERROR(L33/K33,"-")</f>
      </c>
    </row>
    <row r="34" spans="2:16" x14ac:dyDescent="0.25">
      <c r="B34" s="17" t="s">
        <v>52</v>
      </c>
      <c r="C34" s="18">
        <f>COUNTIF('Desktop Test Cases'!$B$2:$B$301,B34)</f>
      </c>
      <c r="D34" s="18">
        <f>COUNTIFS('Desktop Test Cases'!$B$2:$B$301,B34,'Desktop Test Cases'!$M$2:$M$301,"Pass")</f>
      </c>
      <c r="E34" s="18">
        <f>COUNTIFS('Desktop Test Cases'!$B$2:$B$301,B34,'Desktop Test Cases'!$M$2:$M$301,"Fail")</f>
      </c>
      <c r="F34" s="18">
        <f>COUNTIFS('Desktop Test Cases'!$B$2:$B$301,B34,'Desktop Test Cases'!$M$2:$M$301,"Blocked")</f>
      </c>
      <c r="G34" s="18">
        <f>COUNTIFS('Desktop Test Cases'!$B$2:$B$301,B34,'Desktop Test Cases'!$M$2:$M$301,"Not Run")</f>
      </c>
      <c r="H34" s="19">
        <f>IFERROR(D34/C34,"-")</f>
      </c>
      <c r="K34" s="18">
        <f>COUNTIF('Mobile Test Cases'!$B$2:$B$324,B34)</f>
      </c>
      <c r="L34" s="18">
        <f>COUNTIFS('Mobile Test Cases'!$B$2:$B$324,B34,'Mobile Test Cases'!$M$2:$M$324,"Pass")</f>
      </c>
      <c r="M34" s="18">
        <f>COUNTIFS('Mobile Test Cases'!$B$2:$B$324,B34,'Mobile Test Cases'!$M$2:$M$324,"Fail")</f>
      </c>
      <c r="N34" s="18">
        <f>COUNTIFS('Mobile Test Cases'!$B$2:$B$324,B34,'Mobile Test Cases'!$M$2:$M$324,"Blocked")</f>
      </c>
      <c r="O34" s="18">
        <f>COUNTIFS('Mobile Test Cases'!$B$2:$B$324,B34,'Mobile Test Cases'!$M$2:$M$324,"Not Run")</f>
      </c>
      <c r="P34" s="19">
        <f>IFERROR(L34/K34,"-")</f>
      </c>
    </row>
    <row r="35" spans="2:16" x14ac:dyDescent="0.25">
      <c r="B35" s="17" t="s">
        <v>53</v>
      </c>
      <c r="C35" s="18">
        <f>COUNTIF('Desktop Test Cases'!$B$2:$B$301,B35)</f>
      </c>
      <c r="D35" s="18">
        <f>COUNTIFS('Desktop Test Cases'!$B$2:$B$301,B35,'Desktop Test Cases'!$M$2:$M$301,"Pass")</f>
      </c>
      <c r="E35" s="18">
        <f>COUNTIFS('Desktop Test Cases'!$B$2:$B$301,B35,'Desktop Test Cases'!$M$2:$M$301,"Fail")</f>
      </c>
      <c r="F35" s="18">
        <f>COUNTIFS('Desktop Test Cases'!$B$2:$B$301,B35,'Desktop Test Cases'!$M$2:$M$301,"Blocked")</f>
      </c>
      <c r="G35" s="18">
        <f>COUNTIFS('Desktop Test Cases'!$B$2:$B$301,B35,'Desktop Test Cases'!$M$2:$M$301,"Not Run")</f>
      </c>
      <c r="H35" s="19">
        <f>IFERROR(D35/C35,"-")</f>
      </c>
      <c r="K35" s="18">
        <f>COUNTIF('Mobile Test Cases'!$B$2:$B$324,B35)</f>
      </c>
      <c r="L35" s="18">
        <f>COUNTIFS('Mobile Test Cases'!$B$2:$B$324,B35,'Mobile Test Cases'!$M$2:$M$324,"Pass")</f>
      </c>
      <c r="M35" s="18">
        <f>COUNTIFS('Mobile Test Cases'!$B$2:$B$324,B35,'Mobile Test Cases'!$M$2:$M$324,"Fail")</f>
      </c>
      <c r="N35" s="18">
        <f>COUNTIFS('Mobile Test Cases'!$B$2:$B$324,B35,'Mobile Test Cases'!$M$2:$M$324,"Blocked")</f>
      </c>
      <c r="O35" s="18">
        <f>COUNTIFS('Mobile Test Cases'!$B$2:$B$324,B35,'Mobile Test Cases'!$M$2:$M$324,"Not Run")</f>
      </c>
      <c r="P35" s="19">
        <f>IFERROR(L35/K35,"-")</f>
      </c>
    </row>
    <row r="36" spans="2:16" x14ac:dyDescent="0.25">
      <c r="B36" s="17" t="s">
        <v>54</v>
      </c>
      <c r="C36" s="18">
        <f>COUNTIF('Desktop Test Cases'!$B$2:$B$301,B36)</f>
      </c>
      <c r="D36" s="18">
        <f>COUNTIFS('Desktop Test Cases'!$B$2:$B$301,B36,'Desktop Test Cases'!$M$2:$M$301,"Pass")</f>
      </c>
      <c r="E36" s="18">
        <f>COUNTIFS('Desktop Test Cases'!$B$2:$B$301,B36,'Desktop Test Cases'!$M$2:$M$301,"Fail")</f>
      </c>
      <c r="F36" s="18">
        <f>COUNTIFS('Desktop Test Cases'!$B$2:$B$301,B36,'Desktop Test Cases'!$M$2:$M$301,"Blocked")</f>
      </c>
      <c r="G36" s="18">
        <f>COUNTIFS('Desktop Test Cases'!$B$2:$B$301,B36,'Desktop Test Cases'!$M$2:$M$301,"Not Run")</f>
      </c>
      <c r="H36" s="19">
        <f>IFERROR(D36/C36,"-")</f>
      </c>
      <c r="K36" s="18">
        <f>COUNTIF('Mobile Test Cases'!$B$2:$B$324,B36)</f>
      </c>
      <c r="L36" s="18">
        <f>COUNTIFS('Mobile Test Cases'!$B$2:$B$324,B36,'Mobile Test Cases'!$M$2:$M$324,"Pass")</f>
      </c>
      <c r="M36" s="18">
        <f>COUNTIFS('Mobile Test Cases'!$B$2:$B$324,B36,'Mobile Test Cases'!$M$2:$M$324,"Fail")</f>
      </c>
      <c r="N36" s="18">
        <f>COUNTIFS('Mobile Test Cases'!$B$2:$B$324,B36,'Mobile Test Cases'!$M$2:$M$324,"Blocked")</f>
      </c>
      <c r="O36" s="18">
        <f>COUNTIFS('Mobile Test Cases'!$B$2:$B$324,B36,'Mobile Test Cases'!$M$2:$M$324,"Not Run")</f>
      </c>
      <c r="P36" s="19">
        <f>IFERROR(L36/K36,"-")</f>
      </c>
    </row>
    <row r="37" spans="2:16" x14ac:dyDescent="0.25">
      <c r="B37" s="17" t="s">
        <v>55</v>
      </c>
      <c r="C37" s="18">
        <f>COUNTIF('Desktop Test Cases'!$B$2:$B$301,B37)</f>
      </c>
      <c r="D37" s="18">
        <f>COUNTIFS('Desktop Test Cases'!$B$2:$B$301,B37,'Desktop Test Cases'!$M$2:$M$301,"Pass")</f>
      </c>
      <c r="E37" s="18">
        <f>COUNTIFS('Desktop Test Cases'!$B$2:$B$301,B37,'Desktop Test Cases'!$M$2:$M$301,"Fail")</f>
      </c>
      <c r="F37" s="18">
        <f>COUNTIFS('Desktop Test Cases'!$B$2:$B$301,B37,'Desktop Test Cases'!$M$2:$M$301,"Blocked")</f>
      </c>
      <c r="G37" s="18">
        <f>COUNTIFS('Desktop Test Cases'!$B$2:$B$301,B37,'Desktop Test Cases'!$M$2:$M$301,"Not Run")</f>
      </c>
      <c r="H37" s="19">
        <f>IFERROR(D37/C37,"-")</f>
      </c>
      <c r="K37" s="18">
        <f>COUNTIF('Mobile Test Cases'!$B$2:$B$324,B37)</f>
      </c>
      <c r="L37" s="18">
        <f>COUNTIFS('Mobile Test Cases'!$B$2:$B$324,B37,'Mobile Test Cases'!$M$2:$M$324,"Pass")</f>
      </c>
      <c r="M37" s="18">
        <f>COUNTIFS('Mobile Test Cases'!$B$2:$B$324,B37,'Mobile Test Cases'!$M$2:$M$324,"Fail")</f>
      </c>
      <c r="N37" s="18">
        <f>COUNTIFS('Mobile Test Cases'!$B$2:$B$324,B37,'Mobile Test Cases'!$M$2:$M$324,"Blocked")</f>
      </c>
      <c r="O37" s="18">
        <f>COUNTIFS('Mobile Test Cases'!$B$2:$B$324,B37,'Mobile Test Cases'!$M$2:$M$324,"Not Run")</f>
      </c>
      <c r="P37" s="19">
        <f>IFERROR(L37/K37,"-")</f>
      </c>
    </row>
    <row r="38" spans="2:16" x14ac:dyDescent="0.25">
      <c r="B38" s="17" t="s">
        <v>56</v>
      </c>
      <c r="C38" s="18">
        <f>COUNTIF('Desktop Test Cases'!$B$2:$B$301,B38)</f>
      </c>
      <c r="D38" s="18">
        <f>COUNTIFS('Desktop Test Cases'!$B$2:$B$301,B38,'Desktop Test Cases'!$M$2:$M$301,"Pass")</f>
      </c>
      <c r="E38" s="18">
        <f>COUNTIFS('Desktop Test Cases'!$B$2:$B$301,B38,'Desktop Test Cases'!$M$2:$M$301,"Fail")</f>
      </c>
      <c r="F38" s="18">
        <f>COUNTIFS('Desktop Test Cases'!$B$2:$B$301,B38,'Desktop Test Cases'!$M$2:$M$301,"Blocked")</f>
      </c>
      <c r="G38" s="18">
        <f>COUNTIFS('Desktop Test Cases'!$B$2:$B$301,B38,'Desktop Test Cases'!$M$2:$M$301,"Not Run")</f>
      </c>
      <c r="H38" s="19">
        <f>IFERROR(D38/C38,"-")</f>
      </c>
      <c r="K38" s="18">
        <f>COUNTIF('Mobile Test Cases'!$B$2:$B$324,B38)</f>
      </c>
      <c r="L38" s="18">
        <f>COUNTIFS('Mobile Test Cases'!$B$2:$B$324,B38,'Mobile Test Cases'!$M$2:$M$324,"Pass")</f>
      </c>
      <c r="M38" s="18">
        <f>COUNTIFS('Mobile Test Cases'!$B$2:$B$324,B38,'Mobile Test Cases'!$M$2:$M$324,"Fail")</f>
      </c>
      <c r="N38" s="18">
        <f>COUNTIFS('Mobile Test Cases'!$B$2:$B$324,B38,'Mobile Test Cases'!$M$2:$M$324,"Blocked")</f>
      </c>
      <c r="O38" s="18">
        <f>COUNTIFS('Mobile Test Cases'!$B$2:$B$324,B38,'Mobile Test Cases'!$M$2:$M$324,"Not Run")</f>
      </c>
      <c r="P38" s="19">
        <f>IFERROR(L38/K38,"-")</f>
      </c>
    </row>
    <row r="39" spans="2:16" x14ac:dyDescent="0.25">
      <c r="B39" s="17" t="s">
        <v>57</v>
      </c>
      <c r="C39" s="18">
        <f>COUNTIF('Desktop Test Cases'!$B$2:$B$301,B39)</f>
      </c>
      <c r="D39" s="18">
        <f>COUNTIFS('Desktop Test Cases'!$B$2:$B$301,B39,'Desktop Test Cases'!$M$2:$M$301,"Pass")</f>
      </c>
      <c r="E39" s="18">
        <f>COUNTIFS('Desktop Test Cases'!$B$2:$B$301,B39,'Desktop Test Cases'!$M$2:$M$301,"Fail")</f>
      </c>
      <c r="F39" s="18">
        <f>COUNTIFS('Desktop Test Cases'!$B$2:$B$301,B39,'Desktop Test Cases'!$M$2:$M$301,"Blocked")</f>
      </c>
      <c r="G39" s="18">
        <f>COUNTIFS('Desktop Test Cases'!$B$2:$B$301,B39,'Desktop Test Cases'!$M$2:$M$301,"Not Run")</f>
      </c>
      <c r="H39" s="19">
        <f>IFERROR(D39/C39,"-")</f>
      </c>
      <c r="K39" s="18">
        <f>COUNTIF('Mobile Test Cases'!$B$2:$B$324,B39)</f>
      </c>
      <c r="L39" s="18">
        <f>COUNTIFS('Mobile Test Cases'!$B$2:$B$324,B39,'Mobile Test Cases'!$M$2:$M$324,"Pass")</f>
      </c>
      <c r="M39" s="18">
        <f>COUNTIFS('Mobile Test Cases'!$B$2:$B$324,B39,'Mobile Test Cases'!$M$2:$M$324,"Fail")</f>
      </c>
      <c r="N39" s="18">
        <f>COUNTIFS('Mobile Test Cases'!$B$2:$B$324,B39,'Mobile Test Cases'!$M$2:$M$324,"Blocked")</f>
      </c>
      <c r="O39" s="18">
        <f>COUNTIFS('Mobile Test Cases'!$B$2:$B$324,B39,'Mobile Test Cases'!$M$2:$M$324,"Not Run")</f>
      </c>
      <c r="P39" s="19">
        <f>IFERROR(L39/K39,"-")</f>
      </c>
    </row>
    <row r="42" spans="2:2" x14ac:dyDescent="0.25">
      <c r="B42" s="13" t="s">
        <v>58</v>
      </c>
    </row>
    <row r="43" spans="2:12" x14ac:dyDescent="0.25">
      <c r="B43" s="20" t="s">
        <v>59</v>
      </c>
      <c r="C43" s="21" t="s">
        <v>60</v>
      </c>
      <c r="D43" s="21"/>
      <c r="E43" s="21"/>
      <c r="F43" s="21"/>
      <c r="G43" s="21"/>
      <c r="H43" s="21"/>
      <c r="I43" s="21"/>
      <c r="J43" s="21"/>
      <c r="K43" s="21"/>
      <c r="L43" s="21"/>
    </row>
    <row r="44" spans="2:12" x14ac:dyDescent="0.25">
      <c r="B44" s="20" t="s">
        <v>61</v>
      </c>
      <c r="C44" s="21" t="s">
        <v>62</v>
      </c>
      <c r="D44" s="21"/>
      <c r="E44" s="21"/>
      <c r="F44" s="21"/>
      <c r="G44" s="21"/>
      <c r="H44" s="21"/>
      <c r="I44" s="21"/>
      <c r="J44" s="21"/>
      <c r="K44" s="21"/>
      <c r="L44" s="21"/>
    </row>
    <row r="45" spans="2:12" x14ac:dyDescent="0.25">
      <c r="B45" s="20" t="s">
        <v>63</v>
      </c>
      <c r="C45" s="21" t="s">
        <v>64</v>
      </c>
      <c r="D45" s="21"/>
      <c r="E45" s="21"/>
      <c r="F45" s="21"/>
      <c r="G45" s="21"/>
      <c r="H45" s="21"/>
      <c r="I45" s="21"/>
      <c r="J45" s="21"/>
      <c r="K45" s="21"/>
      <c r="L45" s="21"/>
    </row>
    <row r="46" spans="2:12" x14ac:dyDescent="0.25">
      <c r="B46" s="20" t="s">
        <v>65</v>
      </c>
      <c r="C46" s="21" t="s">
        <v>66</v>
      </c>
      <c r="D46" s="21"/>
      <c r="E46" s="21"/>
      <c r="F46" s="21"/>
      <c r="G46" s="21"/>
      <c r="H46" s="21"/>
      <c r="I46" s="21"/>
      <c r="J46" s="21"/>
      <c r="K46" s="21"/>
      <c r="L46" s="21"/>
    </row>
    <row r="47" spans="2:12" x14ac:dyDescent="0.25">
      <c r="B47" s="20" t="s">
        <v>67</v>
      </c>
      <c r="C47" s="21" t="s">
        <v>68</v>
      </c>
      <c r="D47" s="21"/>
      <c r="E47" s="21"/>
      <c r="F47" s="21"/>
      <c r="G47" s="21"/>
      <c r="H47" s="21"/>
      <c r="I47" s="21"/>
      <c r="J47" s="21"/>
      <c r="K47" s="21"/>
      <c r="L47" s="21"/>
    </row>
    <row r="48" spans="2:12" x14ac:dyDescent="0.25">
      <c r="B48" s="20" t="s">
        <v>69</v>
      </c>
      <c r="C48" s="21" t="s">
        <v>70</v>
      </c>
      <c r="D48" s="21"/>
      <c r="E48" s="21"/>
      <c r="F48" s="21"/>
      <c r="G48" s="21"/>
      <c r="H48" s="21"/>
      <c r="I48" s="21"/>
      <c r="J48" s="21"/>
      <c r="K48" s="21"/>
      <c r="L48" s="21"/>
    </row>
    <row r="49" spans="2:12" x14ac:dyDescent="0.25">
      <c r="B49" s="20" t="s">
        <v>71</v>
      </c>
      <c r="C49" s="21" t="s">
        <v>72</v>
      </c>
      <c r="D49" s="21"/>
      <c r="E49" s="21"/>
      <c r="F49" s="21"/>
      <c r="G49" s="21"/>
      <c r="H49" s="21"/>
      <c r="I49" s="21"/>
      <c r="J49" s="21"/>
      <c r="K49" s="21"/>
      <c r="L49" s="21"/>
    </row>
    <row r="50" spans="2:12" x14ac:dyDescent="0.25">
      <c r="B50" s="20" t="s">
        <v>73</v>
      </c>
      <c r="C50" s="21" t="s">
        <v>74</v>
      </c>
      <c r="D50" s="21"/>
      <c r="E50" s="21"/>
      <c r="F50" s="21"/>
      <c r="G50" s="21"/>
      <c r="H50" s="21"/>
      <c r="I50" s="21"/>
      <c r="J50" s="21"/>
      <c r="K50" s="21"/>
      <c r="L50" s="21"/>
    </row>
    <row r="51" spans="2:12" x14ac:dyDescent="0.25">
      <c r="B51" s="20" t="s">
        <v>75</v>
      </c>
      <c r="C51" s="21" t="s">
        <v>76</v>
      </c>
      <c r="D51" s="21"/>
      <c r="E51" s="21"/>
      <c r="F51" s="21"/>
      <c r="G51" s="21"/>
      <c r="H51" s="21"/>
      <c r="I51" s="21"/>
      <c r="J51" s="21"/>
      <c r="K51" s="21"/>
      <c r="L51" s="21"/>
    </row>
    <row r="52" spans="2:12" x14ac:dyDescent="0.25">
      <c r="B52" s="20" t="s">
        <v>77</v>
      </c>
      <c r="C52" s="21" t="s">
        <v>78</v>
      </c>
      <c r="D52" s="21"/>
      <c r="E52" s="21"/>
      <c r="F52" s="21"/>
      <c r="G52" s="21"/>
      <c r="H52" s="21"/>
      <c r="I52" s="21"/>
      <c r="J52" s="21"/>
      <c r="K52" s="21"/>
      <c r="L52" s="21"/>
    </row>
    <row r="53" spans="2:12" x14ac:dyDescent="0.25">
      <c r="B53" s="20" t="s">
        <v>79</v>
      </c>
      <c r="C53" s="21" t="s">
        <v>80</v>
      </c>
      <c r="D53" s="21"/>
      <c r="E53" s="21"/>
      <c r="F53" s="21"/>
      <c r="G53" s="21"/>
      <c r="H53" s="21"/>
      <c r="I53" s="21"/>
      <c r="J53" s="21"/>
      <c r="K53" s="21"/>
      <c r="L53" s="21"/>
    </row>
    <row r="54" spans="2:12" x14ac:dyDescent="0.25">
      <c r="B54" s="20" t="s">
        <v>81</v>
      </c>
      <c r="C54" s="21" t="s">
        <v>82</v>
      </c>
      <c r="D54" s="21"/>
      <c r="E54" s="21"/>
      <c r="F54" s="21"/>
      <c r="G54" s="21"/>
      <c r="H54" s="21"/>
      <c r="I54" s="21"/>
      <c r="J54" s="21"/>
      <c r="K54" s="21"/>
      <c r="L54" s="21"/>
    </row>
    <row r="55" spans="2:12" x14ac:dyDescent="0.25">
      <c r="B55" s="20" t="s">
        <v>83</v>
      </c>
      <c r="C55" s="21" t="s">
        <v>84</v>
      </c>
      <c r="D55" s="21"/>
      <c r="E55" s="21"/>
      <c r="F55" s="21"/>
      <c r="G55" s="21"/>
      <c r="H55" s="21"/>
      <c r="I55" s="21"/>
      <c r="J55" s="21"/>
      <c r="K55" s="21"/>
      <c r="L55" s="21"/>
    </row>
  </sheetData>
  <mergeCells count="20">
    <mergeCell ref="B2:Q2"/>
    <mergeCell ref="B3:Q3"/>
    <mergeCell ref="C5:I5"/>
    <mergeCell ref="C6:I6"/>
    <mergeCell ref="C7:I7"/>
    <mergeCell ref="C8:I8"/>
    <mergeCell ref="C9:I9"/>
    <mergeCell ref="C43:L43"/>
    <mergeCell ref="C44:L44"/>
    <mergeCell ref="C45:L45"/>
    <mergeCell ref="C46:L46"/>
    <mergeCell ref="C47:L47"/>
    <mergeCell ref="C48:L48"/>
    <mergeCell ref="C49:L49"/>
    <mergeCell ref="C50:L50"/>
    <mergeCell ref="C51:L51"/>
    <mergeCell ref="C52:L52"/>
    <mergeCell ref="C53:L53"/>
    <mergeCell ref="C54:L54"/>
    <mergeCell ref="C55:L5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  <pageSetUpPr fitToPage="1"/>
  </sheetPr>
  <dimension ref="A1:Q301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6" customWidth="1"/>
    <col min="3" max="3" width="15" customWidth="1"/>
    <col min="4" max="4" width="14" customWidth="1"/>
    <col min="5" max="5" width="13" customWidth="1"/>
    <col min="6" max="6" width="10" customWidth="1"/>
    <col min="7" max="7" width="40" customWidth="1"/>
    <col min="8" max="8" width="26" customWidth="1"/>
    <col min="9" max="9" width="48" customWidth="1"/>
    <col min="10" max="10" width="24" customWidth="1"/>
    <col min="11" max="11" width="50" customWidth="1"/>
    <col min="12" max="12" width="30" customWidth="1"/>
    <col min="13" max="13" width="11" customWidth="1"/>
    <col min="14" max="14" width="18" customWidth="1"/>
    <col min="15" max="16" width="12" customWidth="1"/>
    <col min="17" max="17" width="22" customWidth="1"/>
  </cols>
  <sheetData>
    <row r="1" ht="26" customHeight="1" spans="1:17" x14ac:dyDescent="0.25">
      <c r="A1" s="22" t="s">
        <v>83</v>
      </c>
      <c r="B1" s="22" t="s">
        <v>24</v>
      </c>
      <c r="C1" s="22" t="s">
        <v>85</v>
      </c>
      <c r="D1" s="22" t="s">
        <v>86</v>
      </c>
      <c r="E1" s="22" t="s">
        <v>87</v>
      </c>
      <c r="F1" s="22" t="s">
        <v>88</v>
      </c>
      <c r="G1" s="22" t="s">
        <v>89</v>
      </c>
      <c r="H1" s="22" t="s">
        <v>90</v>
      </c>
      <c r="I1" s="22" t="s">
        <v>91</v>
      </c>
      <c r="J1" s="22" t="s">
        <v>92</v>
      </c>
      <c r="K1" s="22" t="s">
        <v>93</v>
      </c>
      <c r="L1" s="22" t="s">
        <v>94</v>
      </c>
      <c r="M1" s="22" t="s">
        <v>95</v>
      </c>
      <c r="N1" s="22" t="s">
        <v>96</v>
      </c>
      <c r="O1" s="22" t="s">
        <v>97</v>
      </c>
      <c r="P1" s="22" t="s">
        <v>98</v>
      </c>
      <c r="Q1" s="22" t="s">
        <v>99</v>
      </c>
    </row>
    <row r="2" spans="1:17" x14ac:dyDescent="0.25">
      <c r="A2" s="23" t="s">
        <v>100</v>
      </c>
      <c r="B2" s="24" t="s">
        <v>37</v>
      </c>
      <c r="C2" s="24" t="s">
        <v>101</v>
      </c>
      <c r="D2" s="24" t="s">
        <v>102</v>
      </c>
      <c r="E2" s="25" t="s">
        <v>103</v>
      </c>
      <c r="F2" s="26" t="s">
        <v>104</v>
      </c>
      <c r="G2" s="24" t="s">
        <v>105</v>
      </c>
      <c r="H2" s="24" t="s">
        <v>106</v>
      </c>
      <c r="I2" s="24" t="s">
        <v>107</v>
      </c>
      <c r="J2" s="24" t="s">
        <v>108</v>
      </c>
      <c r="K2" s="24" t="s">
        <v>109</v>
      </c>
      <c r="L2" s="27" t="s">
        <v>110</v>
      </c>
      <c r="M2" s="28" t="s">
        <v>14</v>
      </c>
      <c r="N2" s="27" t="s">
        <v>111</v>
      </c>
      <c r="O2" s="27" t="s">
        <v>112</v>
      </c>
      <c r="P2" s="29" t="s">
        <v>113</v>
      </c>
      <c r="Q2" s="27" t="s">
        <v>114</v>
      </c>
    </row>
    <row r="3" spans="1:17" x14ac:dyDescent="0.25">
      <c r="A3" s="30" t="s">
        <v>115</v>
      </c>
      <c r="B3" s="27" t="s">
        <v>37</v>
      </c>
      <c r="C3" s="27" t="s">
        <v>101</v>
      </c>
      <c r="D3" s="27" t="s">
        <v>102</v>
      </c>
      <c r="E3" s="28" t="s">
        <v>103</v>
      </c>
      <c r="F3" s="31" t="s">
        <v>116</v>
      </c>
      <c r="G3" s="27" t="s">
        <v>117</v>
      </c>
      <c r="H3" s="27" t="s">
        <v>106</v>
      </c>
      <c r="I3" s="27" t="s">
        <v>118</v>
      </c>
      <c r="J3" s="27" t="s">
        <v>108</v>
      </c>
      <c r="K3" s="27" t="s">
        <v>119</v>
      </c>
      <c r="L3" s="27" t="s">
        <v>120</v>
      </c>
      <c r="M3" s="28" t="s">
        <v>14</v>
      </c>
      <c r="N3" s="27" t="s">
        <v>111</v>
      </c>
      <c r="O3" s="27" t="s">
        <v>112</v>
      </c>
      <c r="P3" s="29" t="s">
        <v>113</v>
      </c>
      <c r="Q3" s="27" t="s">
        <v>121</v>
      </c>
    </row>
    <row r="4" spans="1:17" x14ac:dyDescent="0.25">
      <c r="A4" s="23" t="s">
        <v>122</v>
      </c>
      <c r="B4" s="24" t="s">
        <v>37</v>
      </c>
      <c r="C4" s="24" t="s">
        <v>101</v>
      </c>
      <c r="D4" s="24" t="s">
        <v>102</v>
      </c>
      <c r="E4" s="25" t="s">
        <v>103</v>
      </c>
      <c r="F4" s="26" t="s">
        <v>104</v>
      </c>
      <c r="G4" s="24" t="s">
        <v>123</v>
      </c>
      <c r="H4" s="24" t="s">
        <v>106</v>
      </c>
      <c r="I4" s="24" t="s">
        <v>124</v>
      </c>
      <c r="J4" s="24" t="s">
        <v>108</v>
      </c>
      <c r="K4" s="24" t="s">
        <v>125</v>
      </c>
      <c r="L4" s="27" t="s">
        <v>126</v>
      </c>
      <c r="M4" s="28" t="s">
        <v>14</v>
      </c>
      <c r="N4" s="27" t="s">
        <v>111</v>
      </c>
      <c r="O4" s="27" t="s">
        <v>112</v>
      </c>
      <c r="P4" s="29" t="s">
        <v>113</v>
      </c>
      <c r="Q4" s="27" t="s">
        <v>121</v>
      </c>
    </row>
    <row r="5" spans="1:17" x14ac:dyDescent="0.25">
      <c r="A5" s="30" t="s">
        <v>127</v>
      </c>
      <c r="B5" s="27" t="s">
        <v>37</v>
      </c>
      <c r="C5" s="27" t="s">
        <v>101</v>
      </c>
      <c r="D5" s="27" t="s">
        <v>102</v>
      </c>
      <c r="E5" s="28" t="s">
        <v>103</v>
      </c>
      <c r="F5" s="31" t="s">
        <v>116</v>
      </c>
      <c r="G5" s="27" t="s">
        <v>128</v>
      </c>
      <c r="H5" s="27" t="s">
        <v>106</v>
      </c>
      <c r="I5" s="27" t="s">
        <v>129</v>
      </c>
      <c r="J5" s="27" t="s">
        <v>108</v>
      </c>
      <c r="K5" s="27" t="s">
        <v>130</v>
      </c>
      <c r="L5" s="27" t="s">
        <v>131</v>
      </c>
      <c r="M5" s="28" t="s">
        <v>14</v>
      </c>
      <c r="N5" s="27" t="s">
        <v>111</v>
      </c>
      <c r="O5" s="27" t="s">
        <v>112</v>
      </c>
      <c r="P5" s="29" t="s">
        <v>113</v>
      </c>
      <c r="Q5" s="27" t="s">
        <v>121</v>
      </c>
    </row>
    <row r="6" spans="1:17" x14ac:dyDescent="0.25">
      <c r="A6" s="23" t="s">
        <v>132</v>
      </c>
      <c r="B6" s="24" t="s">
        <v>37</v>
      </c>
      <c r="C6" s="24" t="s">
        <v>101</v>
      </c>
      <c r="D6" s="24" t="s">
        <v>133</v>
      </c>
      <c r="E6" s="25" t="s">
        <v>103</v>
      </c>
      <c r="F6" s="32" t="s">
        <v>134</v>
      </c>
      <c r="G6" s="24" t="s">
        <v>135</v>
      </c>
      <c r="H6" s="24" t="s">
        <v>136</v>
      </c>
      <c r="I6" s="24" t="s">
        <v>137</v>
      </c>
      <c r="J6" s="24" t="s">
        <v>108</v>
      </c>
      <c r="K6" s="24" t="s">
        <v>138</v>
      </c>
      <c r="L6" s="27" t="s">
        <v>139</v>
      </c>
      <c r="M6" s="28" t="s">
        <v>14</v>
      </c>
      <c r="N6" s="27" t="s">
        <v>111</v>
      </c>
      <c r="O6" s="27" t="s">
        <v>112</v>
      </c>
      <c r="P6" s="29" t="s">
        <v>113</v>
      </c>
      <c r="Q6" s="27" t="s">
        <v>121</v>
      </c>
    </row>
    <row r="7" spans="1:17" x14ac:dyDescent="0.25">
      <c r="A7" s="30" t="s">
        <v>140</v>
      </c>
      <c r="B7" s="27" t="s">
        <v>37</v>
      </c>
      <c r="C7" s="27" t="s">
        <v>101</v>
      </c>
      <c r="D7" s="27" t="s">
        <v>102</v>
      </c>
      <c r="E7" s="28" t="s">
        <v>141</v>
      </c>
      <c r="F7" s="33" t="s">
        <v>134</v>
      </c>
      <c r="G7" s="27" t="s">
        <v>142</v>
      </c>
      <c r="H7" s="27" t="s">
        <v>108</v>
      </c>
      <c r="I7" s="27" t="s">
        <v>143</v>
      </c>
      <c r="J7" s="27" t="s">
        <v>108</v>
      </c>
      <c r="K7" s="27" t="s">
        <v>144</v>
      </c>
      <c r="L7" s="27" t="s">
        <v>145</v>
      </c>
      <c r="M7" s="28" t="s">
        <v>14</v>
      </c>
      <c r="N7" s="27" t="s">
        <v>111</v>
      </c>
      <c r="O7" s="27" t="s">
        <v>112</v>
      </c>
      <c r="P7" s="29" t="s">
        <v>113</v>
      </c>
      <c r="Q7" s="27" t="s">
        <v>121</v>
      </c>
    </row>
    <row r="8" spans="1:17" x14ac:dyDescent="0.25">
      <c r="A8" s="23" t="s">
        <v>146</v>
      </c>
      <c r="B8" s="24" t="s">
        <v>37</v>
      </c>
      <c r="C8" s="24" t="s">
        <v>147</v>
      </c>
      <c r="D8" s="24" t="s">
        <v>133</v>
      </c>
      <c r="E8" s="25" t="s">
        <v>103</v>
      </c>
      <c r="F8" s="32" t="s">
        <v>134</v>
      </c>
      <c r="G8" s="24" t="s">
        <v>148</v>
      </c>
      <c r="H8" s="24" t="s">
        <v>108</v>
      </c>
      <c r="I8" s="24" t="s">
        <v>149</v>
      </c>
      <c r="J8" s="24" t="s">
        <v>108</v>
      </c>
      <c r="K8" s="24" t="s">
        <v>150</v>
      </c>
      <c r="L8" s="27" t="s">
        <v>151</v>
      </c>
      <c r="M8" s="28" t="s">
        <v>14</v>
      </c>
      <c r="N8" s="27" t="s">
        <v>111</v>
      </c>
      <c r="O8" s="27" t="s">
        <v>112</v>
      </c>
      <c r="P8" s="29" t="s">
        <v>113</v>
      </c>
      <c r="Q8" s="27" t="s">
        <v>121</v>
      </c>
    </row>
    <row r="9" spans="1:17" x14ac:dyDescent="0.25">
      <c r="A9" s="30" t="s">
        <v>152</v>
      </c>
      <c r="B9" s="27" t="s">
        <v>37</v>
      </c>
      <c r="C9" s="27" t="s">
        <v>153</v>
      </c>
      <c r="D9" s="27" t="s">
        <v>102</v>
      </c>
      <c r="E9" s="28" t="s">
        <v>103</v>
      </c>
      <c r="F9" s="31" t="s">
        <v>116</v>
      </c>
      <c r="G9" s="27" t="s">
        <v>154</v>
      </c>
      <c r="H9" s="27" t="s">
        <v>108</v>
      </c>
      <c r="I9" s="27" t="s">
        <v>155</v>
      </c>
      <c r="J9" s="27" t="s">
        <v>108</v>
      </c>
      <c r="K9" s="27" t="s">
        <v>156</v>
      </c>
      <c r="L9" s="27" t="s">
        <v>157</v>
      </c>
      <c r="M9" s="28" t="s">
        <v>14</v>
      </c>
      <c r="N9" s="27" t="s">
        <v>111</v>
      </c>
      <c r="O9" s="27" t="s">
        <v>112</v>
      </c>
      <c r="P9" s="29" t="s">
        <v>113</v>
      </c>
      <c r="Q9" s="27" t="s">
        <v>121</v>
      </c>
    </row>
    <row r="10" spans="1:17" x14ac:dyDescent="0.25">
      <c r="A10" s="23" t="s">
        <v>158</v>
      </c>
      <c r="B10" s="24" t="s">
        <v>37</v>
      </c>
      <c r="C10" s="24" t="s">
        <v>159</v>
      </c>
      <c r="D10" s="24" t="s">
        <v>102</v>
      </c>
      <c r="E10" s="25" t="s">
        <v>103</v>
      </c>
      <c r="F10" s="26" t="s">
        <v>104</v>
      </c>
      <c r="G10" s="24" t="s">
        <v>160</v>
      </c>
      <c r="H10" s="24" t="s">
        <v>108</v>
      </c>
      <c r="I10" s="24" t="s">
        <v>161</v>
      </c>
      <c r="J10" s="24" t="s">
        <v>162</v>
      </c>
      <c r="K10" s="24" t="s">
        <v>163</v>
      </c>
      <c r="L10" s="27" t="s">
        <v>164</v>
      </c>
      <c r="M10" s="28" t="s">
        <v>14</v>
      </c>
      <c r="N10" s="27" t="s">
        <v>111</v>
      </c>
      <c r="O10" s="27" t="s">
        <v>112</v>
      </c>
      <c r="P10" s="29" t="s">
        <v>113</v>
      </c>
      <c r="Q10" s="27" t="s">
        <v>165</v>
      </c>
    </row>
    <row r="11" spans="1:17" x14ac:dyDescent="0.25">
      <c r="A11" s="30" t="s">
        <v>166</v>
      </c>
      <c r="B11" s="27" t="s">
        <v>37</v>
      </c>
      <c r="C11" s="27" t="s">
        <v>159</v>
      </c>
      <c r="D11" s="27" t="s">
        <v>102</v>
      </c>
      <c r="E11" s="28" t="s">
        <v>167</v>
      </c>
      <c r="F11" s="31" t="s">
        <v>116</v>
      </c>
      <c r="G11" s="27" t="s">
        <v>168</v>
      </c>
      <c r="H11" s="27" t="s">
        <v>108</v>
      </c>
      <c r="I11" s="27" t="s">
        <v>169</v>
      </c>
      <c r="J11" s="27" t="s">
        <v>108</v>
      </c>
      <c r="K11" s="27" t="s">
        <v>170</v>
      </c>
      <c r="L11" s="27" t="s">
        <v>171</v>
      </c>
      <c r="M11" s="28" t="s">
        <v>14</v>
      </c>
      <c r="N11" s="27" t="s">
        <v>111</v>
      </c>
      <c r="O11" s="27" t="s">
        <v>112</v>
      </c>
      <c r="P11" s="29" t="s">
        <v>113</v>
      </c>
      <c r="Q11" s="27" t="s">
        <v>121</v>
      </c>
    </row>
    <row r="12" spans="1:17" x14ac:dyDescent="0.25">
      <c r="A12" s="23" t="s">
        <v>172</v>
      </c>
      <c r="B12" s="24" t="s">
        <v>37</v>
      </c>
      <c r="C12" s="24" t="s">
        <v>159</v>
      </c>
      <c r="D12" s="24" t="s">
        <v>102</v>
      </c>
      <c r="E12" s="25" t="s">
        <v>167</v>
      </c>
      <c r="F12" s="34" t="s">
        <v>116</v>
      </c>
      <c r="G12" s="24" t="s">
        <v>173</v>
      </c>
      <c r="H12" s="24" t="s">
        <v>108</v>
      </c>
      <c r="I12" s="24" t="s">
        <v>174</v>
      </c>
      <c r="J12" s="24" t="s">
        <v>175</v>
      </c>
      <c r="K12" s="24" t="s">
        <v>176</v>
      </c>
      <c r="L12" s="27" t="s">
        <v>177</v>
      </c>
      <c r="M12" s="28" t="s">
        <v>14</v>
      </c>
      <c r="N12" s="27" t="s">
        <v>111</v>
      </c>
      <c r="O12" s="27" t="s">
        <v>112</v>
      </c>
      <c r="P12" s="29" t="s">
        <v>113</v>
      </c>
      <c r="Q12" s="27" t="s">
        <v>121</v>
      </c>
    </row>
    <row r="13" spans="1:17" x14ac:dyDescent="0.25">
      <c r="A13" s="30" t="s">
        <v>178</v>
      </c>
      <c r="B13" s="27" t="s">
        <v>37</v>
      </c>
      <c r="C13" s="27" t="s">
        <v>159</v>
      </c>
      <c r="D13" s="27" t="s">
        <v>102</v>
      </c>
      <c r="E13" s="28" t="s">
        <v>167</v>
      </c>
      <c r="F13" s="33" t="s">
        <v>134</v>
      </c>
      <c r="G13" s="27" t="s">
        <v>179</v>
      </c>
      <c r="H13" s="27" t="s">
        <v>108</v>
      </c>
      <c r="I13" s="27" t="s">
        <v>180</v>
      </c>
      <c r="J13" s="27" t="s">
        <v>108</v>
      </c>
      <c r="K13" s="27" t="s">
        <v>181</v>
      </c>
      <c r="L13" s="27" t="s">
        <v>182</v>
      </c>
      <c r="M13" s="28" t="s">
        <v>14</v>
      </c>
      <c r="N13" s="27" t="s">
        <v>111</v>
      </c>
      <c r="O13" s="27" t="s">
        <v>112</v>
      </c>
      <c r="P13" s="29" t="s">
        <v>113</v>
      </c>
      <c r="Q13" s="27" t="s">
        <v>183</v>
      </c>
    </row>
    <row r="14" spans="1:17" x14ac:dyDescent="0.25">
      <c r="A14" s="23" t="s">
        <v>184</v>
      </c>
      <c r="B14" s="24" t="s">
        <v>37</v>
      </c>
      <c r="C14" s="24" t="s">
        <v>185</v>
      </c>
      <c r="D14" s="24" t="s">
        <v>102</v>
      </c>
      <c r="E14" s="25" t="s">
        <v>167</v>
      </c>
      <c r="F14" s="32" t="s">
        <v>134</v>
      </c>
      <c r="G14" s="24" t="s">
        <v>186</v>
      </c>
      <c r="H14" s="24" t="s">
        <v>108</v>
      </c>
      <c r="I14" s="24" t="s">
        <v>187</v>
      </c>
      <c r="J14" s="24" t="s">
        <v>108</v>
      </c>
      <c r="K14" s="24" t="s">
        <v>188</v>
      </c>
      <c r="L14" s="27" t="s">
        <v>189</v>
      </c>
      <c r="M14" s="28" t="s">
        <v>14</v>
      </c>
      <c r="N14" s="27" t="s">
        <v>111</v>
      </c>
      <c r="O14" s="27" t="s">
        <v>112</v>
      </c>
      <c r="P14" s="29" t="s">
        <v>113</v>
      </c>
      <c r="Q14" s="27" t="s">
        <v>190</v>
      </c>
    </row>
    <row r="15" spans="1:17" x14ac:dyDescent="0.25">
      <c r="A15" s="30" t="s">
        <v>191</v>
      </c>
      <c r="B15" s="27" t="s">
        <v>38</v>
      </c>
      <c r="C15" s="27" t="s">
        <v>192</v>
      </c>
      <c r="D15" s="27" t="s">
        <v>193</v>
      </c>
      <c r="E15" s="28" t="s">
        <v>103</v>
      </c>
      <c r="F15" s="35" t="s">
        <v>194</v>
      </c>
      <c r="G15" s="27" t="s">
        <v>195</v>
      </c>
      <c r="H15" s="27" t="s">
        <v>196</v>
      </c>
      <c r="I15" s="27" t="s">
        <v>197</v>
      </c>
      <c r="J15" s="27" t="s">
        <v>198</v>
      </c>
      <c r="K15" s="27" t="s">
        <v>199</v>
      </c>
      <c r="L15" s="27" t="s">
        <v>200</v>
      </c>
      <c r="M15" s="28" t="s">
        <v>14</v>
      </c>
      <c r="N15" s="27" t="s">
        <v>111</v>
      </c>
      <c r="O15" s="27" t="s">
        <v>112</v>
      </c>
      <c r="P15" s="29" t="s">
        <v>113</v>
      </c>
      <c r="Q15" s="27" t="s">
        <v>201</v>
      </c>
    </row>
    <row r="16" spans="1:17" x14ac:dyDescent="0.25">
      <c r="A16" s="23" t="s">
        <v>202</v>
      </c>
      <c r="B16" s="24" t="s">
        <v>38</v>
      </c>
      <c r="C16" s="24" t="s">
        <v>192</v>
      </c>
      <c r="D16" s="24" t="s">
        <v>203</v>
      </c>
      <c r="E16" s="25" t="s">
        <v>103</v>
      </c>
      <c r="F16" s="26" t="s">
        <v>104</v>
      </c>
      <c r="G16" s="24" t="s">
        <v>204</v>
      </c>
      <c r="H16" s="24" t="s">
        <v>205</v>
      </c>
      <c r="I16" s="24" t="s">
        <v>206</v>
      </c>
      <c r="J16" s="24" t="s">
        <v>207</v>
      </c>
      <c r="K16" s="24" t="s">
        <v>208</v>
      </c>
      <c r="L16" s="27" t="s">
        <v>209</v>
      </c>
      <c r="M16" s="28" t="s">
        <v>14</v>
      </c>
      <c r="N16" s="27" t="s">
        <v>111</v>
      </c>
      <c r="O16" s="27" t="s">
        <v>112</v>
      </c>
      <c r="P16" s="29" t="s">
        <v>113</v>
      </c>
      <c r="Q16" s="27" t="s">
        <v>121</v>
      </c>
    </row>
    <row r="17" spans="1:17" x14ac:dyDescent="0.25">
      <c r="A17" s="30" t="s">
        <v>210</v>
      </c>
      <c r="B17" s="27" t="s">
        <v>38</v>
      </c>
      <c r="C17" s="27" t="s">
        <v>192</v>
      </c>
      <c r="D17" s="27" t="s">
        <v>102</v>
      </c>
      <c r="E17" s="28" t="s">
        <v>167</v>
      </c>
      <c r="F17" s="36" t="s">
        <v>104</v>
      </c>
      <c r="G17" s="27" t="s">
        <v>211</v>
      </c>
      <c r="H17" s="27" t="s">
        <v>108</v>
      </c>
      <c r="I17" s="27" t="s">
        <v>212</v>
      </c>
      <c r="J17" s="27" t="s">
        <v>108</v>
      </c>
      <c r="K17" s="27" t="s">
        <v>213</v>
      </c>
      <c r="L17" s="27" t="s">
        <v>214</v>
      </c>
      <c r="M17" s="28" t="s">
        <v>14</v>
      </c>
      <c r="N17" s="27" t="s">
        <v>111</v>
      </c>
      <c r="O17" s="27" t="s">
        <v>112</v>
      </c>
      <c r="P17" s="29" t="s">
        <v>113</v>
      </c>
      <c r="Q17" s="27" t="s">
        <v>121</v>
      </c>
    </row>
    <row r="18" spans="1:17" x14ac:dyDescent="0.25">
      <c r="A18" s="23" t="s">
        <v>215</v>
      </c>
      <c r="B18" s="24" t="s">
        <v>38</v>
      </c>
      <c r="C18" s="24" t="s">
        <v>192</v>
      </c>
      <c r="D18" s="24" t="s">
        <v>102</v>
      </c>
      <c r="E18" s="25" t="s">
        <v>167</v>
      </c>
      <c r="F18" s="26" t="s">
        <v>104</v>
      </c>
      <c r="G18" s="24" t="s">
        <v>216</v>
      </c>
      <c r="H18" s="24" t="s">
        <v>108</v>
      </c>
      <c r="I18" s="24" t="s">
        <v>217</v>
      </c>
      <c r="J18" s="24" t="s">
        <v>218</v>
      </c>
      <c r="K18" s="24" t="s">
        <v>219</v>
      </c>
      <c r="L18" s="27" t="s">
        <v>220</v>
      </c>
      <c r="M18" s="28" t="s">
        <v>14</v>
      </c>
      <c r="N18" s="27" t="s">
        <v>111</v>
      </c>
      <c r="O18" s="27" t="s">
        <v>112</v>
      </c>
      <c r="P18" s="29" t="s">
        <v>113</v>
      </c>
      <c r="Q18" s="27" t="s">
        <v>121</v>
      </c>
    </row>
    <row r="19" spans="1:17" x14ac:dyDescent="0.25">
      <c r="A19" s="30" t="s">
        <v>221</v>
      </c>
      <c r="B19" s="27" t="s">
        <v>38</v>
      </c>
      <c r="C19" s="27" t="s">
        <v>192</v>
      </c>
      <c r="D19" s="27" t="s">
        <v>102</v>
      </c>
      <c r="E19" s="28" t="s">
        <v>167</v>
      </c>
      <c r="F19" s="36" t="s">
        <v>104</v>
      </c>
      <c r="G19" s="27" t="s">
        <v>222</v>
      </c>
      <c r="H19" s="27" t="s">
        <v>108</v>
      </c>
      <c r="I19" s="27" t="s">
        <v>223</v>
      </c>
      <c r="J19" s="27" t="s">
        <v>224</v>
      </c>
      <c r="K19" s="27" t="s">
        <v>225</v>
      </c>
      <c r="L19" s="27" t="s">
        <v>226</v>
      </c>
      <c r="M19" s="28" t="s">
        <v>14</v>
      </c>
      <c r="N19" s="27" t="s">
        <v>111</v>
      </c>
      <c r="O19" s="27" t="s">
        <v>112</v>
      </c>
      <c r="P19" s="29" t="s">
        <v>113</v>
      </c>
      <c r="Q19" s="27" t="s">
        <v>121</v>
      </c>
    </row>
    <row r="20" spans="1:17" x14ac:dyDescent="0.25">
      <c r="A20" s="23" t="s">
        <v>227</v>
      </c>
      <c r="B20" s="24" t="s">
        <v>38</v>
      </c>
      <c r="C20" s="24" t="s">
        <v>192</v>
      </c>
      <c r="D20" s="24" t="s">
        <v>102</v>
      </c>
      <c r="E20" s="25" t="s">
        <v>167</v>
      </c>
      <c r="F20" s="26" t="s">
        <v>104</v>
      </c>
      <c r="G20" s="24" t="s">
        <v>228</v>
      </c>
      <c r="H20" s="24" t="s">
        <v>108</v>
      </c>
      <c r="I20" s="24" t="s">
        <v>229</v>
      </c>
      <c r="J20" s="24" t="s">
        <v>230</v>
      </c>
      <c r="K20" s="24" t="s">
        <v>231</v>
      </c>
      <c r="L20" s="27" t="s">
        <v>232</v>
      </c>
      <c r="M20" s="28" t="s">
        <v>14</v>
      </c>
      <c r="N20" s="27" t="s">
        <v>111</v>
      </c>
      <c r="O20" s="27" t="s">
        <v>112</v>
      </c>
      <c r="P20" s="29" t="s">
        <v>113</v>
      </c>
      <c r="Q20" s="27" t="s">
        <v>121</v>
      </c>
    </row>
    <row r="21" spans="1:17" x14ac:dyDescent="0.25">
      <c r="A21" s="30" t="s">
        <v>233</v>
      </c>
      <c r="B21" s="27" t="s">
        <v>38</v>
      </c>
      <c r="C21" s="27" t="s">
        <v>192</v>
      </c>
      <c r="D21" s="27" t="s">
        <v>234</v>
      </c>
      <c r="E21" s="28" t="s">
        <v>167</v>
      </c>
      <c r="F21" s="36" t="s">
        <v>104</v>
      </c>
      <c r="G21" s="27" t="s">
        <v>235</v>
      </c>
      <c r="H21" s="27" t="s">
        <v>236</v>
      </c>
      <c r="I21" s="27" t="s">
        <v>237</v>
      </c>
      <c r="J21" s="27" t="s">
        <v>238</v>
      </c>
      <c r="K21" s="27" t="s">
        <v>239</v>
      </c>
      <c r="L21" s="27" t="s">
        <v>240</v>
      </c>
      <c r="M21" s="28" t="s">
        <v>14</v>
      </c>
      <c r="N21" s="27" t="s">
        <v>111</v>
      </c>
      <c r="O21" s="27" t="s">
        <v>112</v>
      </c>
      <c r="P21" s="29" t="s">
        <v>113</v>
      </c>
      <c r="Q21" s="27" t="s">
        <v>241</v>
      </c>
    </row>
    <row r="22" spans="1:17" x14ac:dyDescent="0.25">
      <c r="A22" s="23" t="s">
        <v>242</v>
      </c>
      <c r="B22" s="24" t="s">
        <v>38</v>
      </c>
      <c r="C22" s="24" t="s">
        <v>192</v>
      </c>
      <c r="D22" s="24" t="s">
        <v>234</v>
      </c>
      <c r="E22" s="25" t="s">
        <v>167</v>
      </c>
      <c r="F22" s="26" t="s">
        <v>104</v>
      </c>
      <c r="G22" s="24" t="s">
        <v>243</v>
      </c>
      <c r="H22" s="24" t="s">
        <v>244</v>
      </c>
      <c r="I22" s="24" t="s">
        <v>245</v>
      </c>
      <c r="J22" s="24" t="s">
        <v>246</v>
      </c>
      <c r="K22" s="24" t="s">
        <v>247</v>
      </c>
      <c r="L22" s="27" t="s">
        <v>248</v>
      </c>
      <c r="M22" s="28" t="s">
        <v>14</v>
      </c>
      <c r="N22" s="27" t="s">
        <v>111</v>
      </c>
      <c r="O22" s="27" t="s">
        <v>112</v>
      </c>
      <c r="P22" s="29" t="s">
        <v>113</v>
      </c>
      <c r="Q22" s="27" t="s">
        <v>249</v>
      </c>
    </row>
    <row r="23" spans="1:17" x14ac:dyDescent="0.25">
      <c r="A23" s="30" t="s">
        <v>250</v>
      </c>
      <c r="B23" s="27" t="s">
        <v>38</v>
      </c>
      <c r="C23" s="27" t="s">
        <v>192</v>
      </c>
      <c r="D23" s="27" t="s">
        <v>234</v>
      </c>
      <c r="E23" s="28" t="s">
        <v>167</v>
      </c>
      <c r="F23" s="36" t="s">
        <v>104</v>
      </c>
      <c r="G23" s="27" t="s">
        <v>251</v>
      </c>
      <c r="H23" s="27" t="s">
        <v>252</v>
      </c>
      <c r="I23" s="27" t="s">
        <v>245</v>
      </c>
      <c r="J23" s="27" t="s">
        <v>253</v>
      </c>
      <c r="K23" s="27" t="s">
        <v>254</v>
      </c>
      <c r="L23" s="27" t="s">
        <v>255</v>
      </c>
      <c r="M23" s="28" t="s">
        <v>14</v>
      </c>
      <c r="N23" s="27" t="s">
        <v>111</v>
      </c>
      <c r="O23" s="27" t="s">
        <v>112</v>
      </c>
      <c r="P23" s="29" t="s">
        <v>113</v>
      </c>
      <c r="Q23" s="27" t="s">
        <v>256</v>
      </c>
    </row>
    <row r="24" spans="1:17" x14ac:dyDescent="0.25">
      <c r="A24" s="23" t="s">
        <v>257</v>
      </c>
      <c r="B24" s="24" t="s">
        <v>38</v>
      </c>
      <c r="C24" s="24" t="s">
        <v>192</v>
      </c>
      <c r="D24" s="24" t="s">
        <v>234</v>
      </c>
      <c r="E24" s="25" t="s">
        <v>103</v>
      </c>
      <c r="F24" s="34" t="s">
        <v>116</v>
      </c>
      <c r="G24" s="24" t="s">
        <v>258</v>
      </c>
      <c r="H24" s="24" t="s">
        <v>259</v>
      </c>
      <c r="I24" s="24" t="s">
        <v>260</v>
      </c>
      <c r="J24" s="24" t="s">
        <v>108</v>
      </c>
      <c r="K24" s="24" t="s">
        <v>261</v>
      </c>
      <c r="L24" s="27" t="s">
        <v>262</v>
      </c>
      <c r="M24" s="28" t="s">
        <v>14</v>
      </c>
      <c r="N24" s="27" t="s">
        <v>111</v>
      </c>
      <c r="O24" s="27" t="s">
        <v>112</v>
      </c>
      <c r="P24" s="29" t="s">
        <v>113</v>
      </c>
      <c r="Q24" s="27" t="s">
        <v>263</v>
      </c>
    </row>
    <row r="25" spans="1:17" x14ac:dyDescent="0.25">
      <c r="A25" s="30" t="s">
        <v>264</v>
      </c>
      <c r="B25" s="27" t="s">
        <v>38</v>
      </c>
      <c r="C25" s="27" t="s">
        <v>192</v>
      </c>
      <c r="D25" s="27" t="s">
        <v>234</v>
      </c>
      <c r="E25" s="28" t="s">
        <v>103</v>
      </c>
      <c r="F25" s="35" t="s">
        <v>194</v>
      </c>
      <c r="G25" s="27" t="s">
        <v>265</v>
      </c>
      <c r="H25" s="27" t="s">
        <v>266</v>
      </c>
      <c r="I25" s="27" t="s">
        <v>267</v>
      </c>
      <c r="J25" s="27" t="s">
        <v>268</v>
      </c>
      <c r="K25" s="27" t="s">
        <v>269</v>
      </c>
      <c r="L25" s="27" t="s">
        <v>270</v>
      </c>
      <c r="M25" s="28" t="s">
        <v>14</v>
      </c>
      <c r="N25" s="27" t="s">
        <v>111</v>
      </c>
      <c r="O25" s="27" t="s">
        <v>112</v>
      </c>
      <c r="P25" s="29" t="s">
        <v>113</v>
      </c>
      <c r="Q25" s="27" t="s">
        <v>271</v>
      </c>
    </row>
    <row r="26" spans="1:17" x14ac:dyDescent="0.25">
      <c r="A26" s="23" t="s">
        <v>272</v>
      </c>
      <c r="B26" s="24" t="s">
        <v>38</v>
      </c>
      <c r="C26" s="24" t="s">
        <v>192</v>
      </c>
      <c r="D26" s="24" t="s">
        <v>102</v>
      </c>
      <c r="E26" s="25" t="s">
        <v>141</v>
      </c>
      <c r="F26" s="34" t="s">
        <v>116</v>
      </c>
      <c r="G26" s="24" t="s">
        <v>273</v>
      </c>
      <c r="H26" s="24" t="s">
        <v>108</v>
      </c>
      <c r="I26" s="24" t="s">
        <v>274</v>
      </c>
      <c r="J26" s="24" t="s">
        <v>108</v>
      </c>
      <c r="K26" s="24" t="s">
        <v>275</v>
      </c>
      <c r="L26" s="27" t="s">
        <v>276</v>
      </c>
      <c r="M26" s="28" t="s">
        <v>14</v>
      </c>
      <c r="N26" s="27" t="s">
        <v>111</v>
      </c>
      <c r="O26" s="27" t="s">
        <v>112</v>
      </c>
      <c r="P26" s="29" t="s">
        <v>113</v>
      </c>
      <c r="Q26" s="27" t="s">
        <v>121</v>
      </c>
    </row>
    <row r="27" spans="1:17" x14ac:dyDescent="0.25">
      <c r="A27" s="30" t="s">
        <v>277</v>
      </c>
      <c r="B27" s="27" t="s">
        <v>38</v>
      </c>
      <c r="C27" s="27" t="s">
        <v>192</v>
      </c>
      <c r="D27" s="27" t="s">
        <v>102</v>
      </c>
      <c r="E27" s="28" t="s">
        <v>141</v>
      </c>
      <c r="F27" s="33" t="s">
        <v>134</v>
      </c>
      <c r="G27" s="27" t="s">
        <v>278</v>
      </c>
      <c r="H27" s="27" t="s">
        <v>108</v>
      </c>
      <c r="I27" s="27" t="s">
        <v>279</v>
      </c>
      <c r="J27" s="27" t="s">
        <v>108</v>
      </c>
      <c r="K27" s="27" t="s">
        <v>280</v>
      </c>
      <c r="L27" s="27" t="s">
        <v>281</v>
      </c>
      <c r="M27" s="28" t="s">
        <v>14</v>
      </c>
      <c r="N27" s="27" t="s">
        <v>111</v>
      </c>
      <c r="O27" s="27" t="s">
        <v>112</v>
      </c>
      <c r="P27" s="29" t="s">
        <v>113</v>
      </c>
      <c r="Q27" s="27" t="s">
        <v>121</v>
      </c>
    </row>
    <row r="28" spans="1:17" x14ac:dyDescent="0.25">
      <c r="A28" s="23" t="s">
        <v>282</v>
      </c>
      <c r="B28" s="24" t="s">
        <v>38</v>
      </c>
      <c r="C28" s="24" t="s">
        <v>192</v>
      </c>
      <c r="D28" s="24" t="s">
        <v>102</v>
      </c>
      <c r="E28" s="25" t="s">
        <v>103</v>
      </c>
      <c r="F28" s="34" t="s">
        <v>116</v>
      </c>
      <c r="G28" s="24" t="s">
        <v>283</v>
      </c>
      <c r="H28" s="24" t="s">
        <v>108</v>
      </c>
      <c r="I28" s="24" t="s">
        <v>284</v>
      </c>
      <c r="J28" s="24" t="s">
        <v>108</v>
      </c>
      <c r="K28" s="24" t="s">
        <v>285</v>
      </c>
      <c r="L28" s="27" t="s">
        <v>286</v>
      </c>
      <c r="M28" s="28" t="s">
        <v>14</v>
      </c>
      <c r="N28" s="27" t="s">
        <v>111</v>
      </c>
      <c r="O28" s="27" t="s">
        <v>112</v>
      </c>
      <c r="P28" s="29" t="s">
        <v>113</v>
      </c>
      <c r="Q28" s="27" t="s">
        <v>121</v>
      </c>
    </row>
    <row r="29" spans="1:17" x14ac:dyDescent="0.25">
      <c r="A29" s="30" t="s">
        <v>287</v>
      </c>
      <c r="B29" s="27" t="s">
        <v>38</v>
      </c>
      <c r="C29" s="27" t="s">
        <v>192</v>
      </c>
      <c r="D29" s="27" t="s">
        <v>102</v>
      </c>
      <c r="E29" s="28" t="s">
        <v>288</v>
      </c>
      <c r="F29" s="36" t="s">
        <v>104</v>
      </c>
      <c r="G29" s="27" t="s">
        <v>289</v>
      </c>
      <c r="H29" s="27" t="s">
        <v>108</v>
      </c>
      <c r="I29" s="27" t="s">
        <v>290</v>
      </c>
      <c r="J29" s="27" t="s">
        <v>108</v>
      </c>
      <c r="K29" s="27" t="s">
        <v>291</v>
      </c>
      <c r="L29" s="27" t="s">
        <v>292</v>
      </c>
      <c r="M29" s="28" t="s">
        <v>14</v>
      </c>
      <c r="N29" s="27" t="s">
        <v>111</v>
      </c>
      <c r="O29" s="27" t="s">
        <v>112</v>
      </c>
      <c r="P29" s="29" t="s">
        <v>113</v>
      </c>
      <c r="Q29" s="27" t="s">
        <v>293</v>
      </c>
    </row>
    <row r="30" spans="1:17" x14ac:dyDescent="0.25">
      <c r="A30" s="23" t="s">
        <v>294</v>
      </c>
      <c r="B30" s="24" t="s">
        <v>38</v>
      </c>
      <c r="C30" s="24" t="s">
        <v>192</v>
      </c>
      <c r="D30" s="24" t="s">
        <v>102</v>
      </c>
      <c r="E30" s="25" t="s">
        <v>103</v>
      </c>
      <c r="F30" s="34" t="s">
        <v>116</v>
      </c>
      <c r="G30" s="24" t="s">
        <v>295</v>
      </c>
      <c r="H30" s="24" t="s">
        <v>108</v>
      </c>
      <c r="I30" s="24" t="s">
        <v>296</v>
      </c>
      <c r="J30" s="24" t="s">
        <v>108</v>
      </c>
      <c r="K30" s="24" t="s">
        <v>297</v>
      </c>
      <c r="L30" s="27" t="s">
        <v>298</v>
      </c>
      <c r="M30" s="28" t="s">
        <v>14</v>
      </c>
      <c r="N30" s="27" t="s">
        <v>111</v>
      </c>
      <c r="O30" s="27" t="s">
        <v>112</v>
      </c>
      <c r="P30" s="29" t="s">
        <v>113</v>
      </c>
      <c r="Q30" s="27" t="s">
        <v>121</v>
      </c>
    </row>
    <row r="31" spans="1:17" x14ac:dyDescent="0.25">
      <c r="A31" s="30" t="s">
        <v>299</v>
      </c>
      <c r="B31" s="27" t="s">
        <v>38</v>
      </c>
      <c r="C31" s="27" t="s">
        <v>192</v>
      </c>
      <c r="D31" s="27" t="s">
        <v>102</v>
      </c>
      <c r="E31" s="28" t="s">
        <v>288</v>
      </c>
      <c r="F31" s="31" t="s">
        <v>116</v>
      </c>
      <c r="G31" s="27" t="s">
        <v>300</v>
      </c>
      <c r="H31" s="27" t="s">
        <v>108</v>
      </c>
      <c r="I31" s="27" t="s">
        <v>301</v>
      </c>
      <c r="J31" s="27" t="s">
        <v>302</v>
      </c>
      <c r="K31" s="27" t="s">
        <v>303</v>
      </c>
      <c r="L31" s="27" t="s">
        <v>304</v>
      </c>
      <c r="M31" s="28" t="s">
        <v>14</v>
      </c>
      <c r="N31" s="27" t="s">
        <v>111</v>
      </c>
      <c r="O31" s="27" t="s">
        <v>112</v>
      </c>
      <c r="P31" s="29" t="s">
        <v>113</v>
      </c>
      <c r="Q31" s="27" t="s">
        <v>305</v>
      </c>
    </row>
    <row r="32" spans="1:17" x14ac:dyDescent="0.25">
      <c r="A32" s="23" t="s">
        <v>306</v>
      </c>
      <c r="B32" s="24" t="s">
        <v>38</v>
      </c>
      <c r="C32" s="24" t="s">
        <v>192</v>
      </c>
      <c r="D32" s="24" t="s">
        <v>102</v>
      </c>
      <c r="E32" s="25" t="s">
        <v>103</v>
      </c>
      <c r="F32" s="32" t="s">
        <v>134</v>
      </c>
      <c r="G32" s="24" t="s">
        <v>307</v>
      </c>
      <c r="H32" s="24" t="s">
        <v>108</v>
      </c>
      <c r="I32" s="24" t="s">
        <v>308</v>
      </c>
      <c r="J32" s="24" t="s">
        <v>108</v>
      </c>
      <c r="K32" s="24" t="s">
        <v>309</v>
      </c>
      <c r="L32" s="27" t="s">
        <v>310</v>
      </c>
      <c r="M32" s="28" t="s">
        <v>14</v>
      </c>
      <c r="N32" s="27" t="s">
        <v>111</v>
      </c>
      <c r="O32" s="27" t="s">
        <v>112</v>
      </c>
      <c r="P32" s="29" t="s">
        <v>113</v>
      </c>
      <c r="Q32" s="27" t="s">
        <v>121</v>
      </c>
    </row>
    <row r="33" spans="1:17" x14ac:dyDescent="0.25">
      <c r="A33" s="30" t="s">
        <v>311</v>
      </c>
      <c r="B33" s="27" t="s">
        <v>39</v>
      </c>
      <c r="C33" s="27" t="s">
        <v>312</v>
      </c>
      <c r="D33" s="27" t="s">
        <v>102</v>
      </c>
      <c r="E33" s="28" t="s">
        <v>167</v>
      </c>
      <c r="F33" s="36" t="s">
        <v>104</v>
      </c>
      <c r="G33" s="27" t="s">
        <v>313</v>
      </c>
      <c r="H33" s="27" t="s">
        <v>108</v>
      </c>
      <c r="I33" s="27" t="s">
        <v>314</v>
      </c>
      <c r="J33" s="27" t="s">
        <v>108</v>
      </c>
      <c r="K33" s="27" t="s">
        <v>315</v>
      </c>
      <c r="L33" s="27" t="s">
        <v>316</v>
      </c>
      <c r="M33" s="28" t="s">
        <v>14</v>
      </c>
      <c r="N33" s="27" t="s">
        <v>111</v>
      </c>
      <c r="O33" s="27" t="s">
        <v>112</v>
      </c>
      <c r="P33" s="29" t="s">
        <v>113</v>
      </c>
      <c r="Q33" s="27" t="s">
        <v>121</v>
      </c>
    </row>
    <row r="34" spans="1:17" x14ac:dyDescent="0.25">
      <c r="A34" s="23" t="s">
        <v>317</v>
      </c>
      <c r="B34" s="24" t="s">
        <v>39</v>
      </c>
      <c r="C34" s="24" t="s">
        <v>312</v>
      </c>
      <c r="D34" s="24" t="s">
        <v>102</v>
      </c>
      <c r="E34" s="25" t="s">
        <v>167</v>
      </c>
      <c r="F34" s="26" t="s">
        <v>104</v>
      </c>
      <c r="G34" s="24" t="s">
        <v>318</v>
      </c>
      <c r="H34" s="24" t="s">
        <v>108</v>
      </c>
      <c r="I34" s="24" t="s">
        <v>319</v>
      </c>
      <c r="J34" s="24" t="s">
        <v>320</v>
      </c>
      <c r="K34" s="24" t="s">
        <v>321</v>
      </c>
      <c r="L34" s="27" t="s">
        <v>322</v>
      </c>
      <c r="M34" s="28" t="s">
        <v>14</v>
      </c>
      <c r="N34" s="27" t="s">
        <v>111</v>
      </c>
      <c r="O34" s="27" t="s">
        <v>112</v>
      </c>
      <c r="P34" s="29" t="s">
        <v>113</v>
      </c>
      <c r="Q34" s="27" t="s">
        <v>121</v>
      </c>
    </row>
    <row r="35" spans="1:17" x14ac:dyDescent="0.25">
      <c r="A35" s="30" t="s">
        <v>323</v>
      </c>
      <c r="B35" s="27" t="s">
        <v>39</v>
      </c>
      <c r="C35" s="27" t="s">
        <v>312</v>
      </c>
      <c r="D35" s="27" t="s">
        <v>102</v>
      </c>
      <c r="E35" s="28" t="s">
        <v>103</v>
      </c>
      <c r="F35" s="35" t="s">
        <v>194</v>
      </c>
      <c r="G35" s="27" t="s">
        <v>324</v>
      </c>
      <c r="H35" s="27" t="s">
        <v>325</v>
      </c>
      <c r="I35" s="27" t="s">
        <v>326</v>
      </c>
      <c r="J35" s="27" t="s">
        <v>327</v>
      </c>
      <c r="K35" s="27" t="s">
        <v>328</v>
      </c>
      <c r="L35" s="27" t="s">
        <v>329</v>
      </c>
      <c r="M35" s="28" t="s">
        <v>14</v>
      </c>
      <c r="N35" s="27" t="s">
        <v>111</v>
      </c>
      <c r="O35" s="27" t="s">
        <v>112</v>
      </c>
      <c r="P35" s="29" t="s">
        <v>113</v>
      </c>
      <c r="Q35" s="27" t="s">
        <v>330</v>
      </c>
    </row>
    <row r="36" spans="1:17" x14ac:dyDescent="0.25">
      <c r="A36" s="23" t="s">
        <v>331</v>
      </c>
      <c r="B36" s="24" t="s">
        <v>39</v>
      </c>
      <c r="C36" s="24" t="s">
        <v>312</v>
      </c>
      <c r="D36" s="24" t="s">
        <v>102</v>
      </c>
      <c r="E36" s="25" t="s">
        <v>103</v>
      </c>
      <c r="F36" s="34" t="s">
        <v>116</v>
      </c>
      <c r="G36" s="24" t="s">
        <v>332</v>
      </c>
      <c r="H36" s="24" t="s">
        <v>333</v>
      </c>
      <c r="I36" s="24" t="s">
        <v>334</v>
      </c>
      <c r="J36" s="24" t="s">
        <v>108</v>
      </c>
      <c r="K36" s="24" t="s">
        <v>335</v>
      </c>
      <c r="L36" s="27" t="s">
        <v>336</v>
      </c>
      <c r="M36" s="28" t="s">
        <v>14</v>
      </c>
      <c r="N36" s="27" t="s">
        <v>111</v>
      </c>
      <c r="O36" s="27" t="s">
        <v>112</v>
      </c>
      <c r="P36" s="29" t="s">
        <v>113</v>
      </c>
      <c r="Q36" s="27" t="s">
        <v>121</v>
      </c>
    </row>
    <row r="37" spans="1:17" x14ac:dyDescent="0.25">
      <c r="A37" s="30" t="s">
        <v>337</v>
      </c>
      <c r="B37" s="27" t="s">
        <v>39</v>
      </c>
      <c r="C37" s="27" t="s">
        <v>312</v>
      </c>
      <c r="D37" s="27" t="s">
        <v>102</v>
      </c>
      <c r="E37" s="28" t="s">
        <v>288</v>
      </c>
      <c r="F37" s="31" t="s">
        <v>116</v>
      </c>
      <c r="G37" s="27" t="s">
        <v>338</v>
      </c>
      <c r="H37" s="27" t="s">
        <v>108</v>
      </c>
      <c r="I37" s="27" t="s">
        <v>339</v>
      </c>
      <c r="J37" s="27" t="s">
        <v>108</v>
      </c>
      <c r="K37" s="27" t="s">
        <v>340</v>
      </c>
      <c r="L37" s="27" t="s">
        <v>341</v>
      </c>
      <c r="M37" s="28" t="s">
        <v>14</v>
      </c>
      <c r="N37" s="27" t="s">
        <v>111</v>
      </c>
      <c r="O37" s="27" t="s">
        <v>112</v>
      </c>
      <c r="P37" s="29" t="s">
        <v>113</v>
      </c>
      <c r="Q37" s="27" t="s">
        <v>342</v>
      </c>
    </row>
    <row r="38" spans="1:17" x14ac:dyDescent="0.25">
      <c r="A38" s="23" t="s">
        <v>343</v>
      </c>
      <c r="B38" s="24" t="s">
        <v>39</v>
      </c>
      <c r="C38" s="24" t="s">
        <v>312</v>
      </c>
      <c r="D38" s="24" t="s">
        <v>102</v>
      </c>
      <c r="E38" s="25" t="s">
        <v>288</v>
      </c>
      <c r="F38" s="26" t="s">
        <v>104</v>
      </c>
      <c r="G38" s="24" t="s">
        <v>344</v>
      </c>
      <c r="H38" s="24" t="s">
        <v>108</v>
      </c>
      <c r="I38" s="24" t="s">
        <v>345</v>
      </c>
      <c r="J38" s="24" t="s">
        <v>108</v>
      </c>
      <c r="K38" s="24" t="s">
        <v>346</v>
      </c>
      <c r="L38" s="27" t="s">
        <v>347</v>
      </c>
      <c r="M38" s="28" t="s">
        <v>14</v>
      </c>
      <c r="N38" s="27" t="s">
        <v>111</v>
      </c>
      <c r="O38" s="27" t="s">
        <v>112</v>
      </c>
      <c r="P38" s="29" t="s">
        <v>113</v>
      </c>
      <c r="Q38" s="27" t="s">
        <v>348</v>
      </c>
    </row>
    <row r="39" spans="1:17" x14ac:dyDescent="0.25">
      <c r="A39" s="30" t="s">
        <v>349</v>
      </c>
      <c r="B39" s="27" t="s">
        <v>39</v>
      </c>
      <c r="C39" s="27" t="s">
        <v>350</v>
      </c>
      <c r="D39" s="27" t="s">
        <v>102</v>
      </c>
      <c r="E39" s="28" t="s">
        <v>167</v>
      </c>
      <c r="F39" s="36" t="s">
        <v>104</v>
      </c>
      <c r="G39" s="27" t="s">
        <v>351</v>
      </c>
      <c r="H39" s="27" t="s">
        <v>108</v>
      </c>
      <c r="I39" s="27" t="s">
        <v>352</v>
      </c>
      <c r="J39" s="27" t="s">
        <v>108</v>
      </c>
      <c r="K39" s="27" t="s">
        <v>353</v>
      </c>
      <c r="L39" s="27" t="s">
        <v>354</v>
      </c>
      <c r="M39" s="28" t="s">
        <v>14</v>
      </c>
      <c r="N39" s="27" t="s">
        <v>111</v>
      </c>
      <c r="O39" s="27" t="s">
        <v>112</v>
      </c>
      <c r="P39" s="29" t="s">
        <v>113</v>
      </c>
      <c r="Q39" s="27" t="s">
        <v>121</v>
      </c>
    </row>
    <row r="40" spans="1:17" x14ac:dyDescent="0.25">
      <c r="A40" s="23" t="s">
        <v>355</v>
      </c>
      <c r="B40" s="24" t="s">
        <v>39</v>
      </c>
      <c r="C40" s="24" t="s">
        <v>350</v>
      </c>
      <c r="D40" s="24" t="s">
        <v>102</v>
      </c>
      <c r="E40" s="25" t="s">
        <v>167</v>
      </c>
      <c r="F40" s="26" t="s">
        <v>104</v>
      </c>
      <c r="G40" s="24" t="s">
        <v>356</v>
      </c>
      <c r="H40" s="24" t="s">
        <v>357</v>
      </c>
      <c r="I40" s="24" t="s">
        <v>358</v>
      </c>
      <c r="J40" s="24" t="s">
        <v>359</v>
      </c>
      <c r="K40" s="24" t="s">
        <v>360</v>
      </c>
      <c r="L40" s="27" t="s">
        <v>361</v>
      </c>
      <c r="M40" s="28" t="s">
        <v>14</v>
      </c>
      <c r="N40" s="27" t="s">
        <v>111</v>
      </c>
      <c r="O40" s="27" t="s">
        <v>112</v>
      </c>
      <c r="P40" s="29" t="s">
        <v>113</v>
      </c>
      <c r="Q40" s="27" t="s">
        <v>121</v>
      </c>
    </row>
    <row r="41" spans="1:17" x14ac:dyDescent="0.25">
      <c r="A41" s="30" t="s">
        <v>362</v>
      </c>
      <c r="B41" s="27" t="s">
        <v>39</v>
      </c>
      <c r="C41" s="27" t="s">
        <v>350</v>
      </c>
      <c r="D41" s="27" t="s">
        <v>102</v>
      </c>
      <c r="E41" s="28" t="s">
        <v>167</v>
      </c>
      <c r="F41" s="36" t="s">
        <v>104</v>
      </c>
      <c r="G41" s="27" t="s">
        <v>363</v>
      </c>
      <c r="H41" s="27" t="s">
        <v>357</v>
      </c>
      <c r="I41" s="27" t="s">
        <v>364</v>
      </c>
      <c r="J41" s="27" t="s">
        <v>365</v>
      </c>
      <c r="K41" s="27" t="s">
        <v>366</v>
      </c>
      <c r="L41" s="27" t="s">
        <v>367</v>
      </c>
      <c r="M41" s="28" t="s">
        <v>14</v>
      </c>
      <c r="N41" s="27" t="s">
        <v>111</v>
      </c>
      <c r="O41" s="27" t="s">
        <v>112</v>
      </c>
      <c r="P41" s="29" t="s">
        <v>113</v>
      </c>
      <c r="Q41" s="27" t="s">
        <v>121</v>
      </c>
    </row>
    <row r="42" spans="1:17" x14ac:dyDescent="0.25">
      <c r="A42" s="23" t="s">
        <v>368</v>
      </c>
      <c r="B42" s="24" t="s">
        <v>39</v>
      </c>
      <c r="C42" s="24" t="s">
        <v>350</v>
      </c>
      <c r="D42" s="24" t="s">
        <v>102</v>
      </c>
      <c r="E42" s="25" t="s">
        <v>167</v>
      </c>
      <c r="F42" s="26" t="s">
        <v>104</v>
      </c>
      <c r="G42" s="24" t="s">
        <v>369</v>
      </c>
      <c r="H42" s="24" t="s">
        <v>357</v>
      </c>
      <c r="I42" s="24" t="s">
        <v>370</v>
      </c>
      <c r="J42" s="24" t="s">
        <v>108</v>
      </c>
      <c r="K42" s="24" t="s">
        <v>366</v>
      </c>
      <c r="L42" s="27" t="s">
        <v>367</v>
      </c>
      <c r="M42" s="28" t="s">
        <v>14</v>
      </c>
      <c r="N42" s="27" t="s">
        <v>111</v>
      </c>
      <c r="O42" s="27" t="s">
        <v>112</v>
      </c>
      <c r="P42" s="29" t="s">
        <v>113</v>
      </c>
      <c r="Q42" s="27" t="s">
        <v>121</v>
      </c>
    </row>
    <row r="43" spans="1:17" x14ac:dyDescent="0.25">
      <c r="A43" s="30" t="s">
        <v>371</v>
      </c>
      <c r="B43" s="27" t="s">
        <v>39</v>
      </c>
      <c r="C43" s="27" t="s">
        <v>350</v>
      </c>
      <c r="D43" s="27" t="s">
        <v>102</v>
      </c>
      <c r="E43" s="28" t="s">
        <v>167</v>
      </c>
      <c r="F43" s="31" t="s">
        <v>116</v>
      </c>
      <c r="G43" s="27" t="s">
        <v>372</v>
      </c>
      <c r="H43" s="27" t="s">
        <v>373</v>
      </c>
      <c r="I43" s="27" t="s">
        <v>374</v>
      </c>
      <c r="J43" s="27" t="s">
        <v>108</v>
      </c>
      <c r="K43" s="27" t="s">
        <v>375</v>
      </c>
      <c r="L43" s="27" t="s">
        <v>376</v>
      </c>
      <c r="M43" s="28" t="s">
        <v>14</v>
      </c>
      <c r="N43" s="27" t="s">
        <v>111</v>
      </c>
      <c r="O43" s="27" t="s">
        <v>112</v>
      </c>
      <c r="P43" s="29" t="s">
        <v>113</v>
      </c>
      <c r="Q43" s="27" t="s">
        <v>121</v>
      </c>
    </row>
    <row r="44" spans="1:17" x14ac:dyDescent="0.25">
      <c r="A44" s="23" t="s">
        <v>377</v>
      </c>
      <c r="B44" s="24" t="s">
        <v>39</v>
      </c>
      <c r="C44" s="24" t="s">
        <v>350</v>
      </c>
      <c r="D44" s="24" t="s">
        <v>102</v>
      </c>
      <c r="E44" s="25" t="s">
        <v>167</v>
      </c>
      <c r="F44" s="34" t="s">
        <v>116</v>
      </c>
      <c r="G44" s="24" t="s">
        <v>378</v>
      </c>
      <c r="H44" s="24" t="s">
        <v>379</v>
      </c>
      <c r="I44" s="24" t="s">
        <v>380</v>
      </c>
      <c r="J44" s="24" t="s">
        <v>108</v>
      </c>
      <c r="K44" s="24" t="s">
        <v>381</v>
      </c>
      <c r="L44" s="27" t="s">
        <v>382</v>
      </c>
      <c r="M44" s="28" t="s">
        <v>14</v>
      </c>
      <c r="N44" s="27" t="s">
        <v>111</v>
      </c>
      <c r="O44" s="27" t="s">
        <v>112</v>
      </c>
      <c r="P44" s="29" t="s">
        <v>113</v>
      </c>
      <c r="Q44" s="27" t="s">
        <v>383</v>
      </c>
    </row>
    <row r="45" spans="1:17" x14ac:dyDescent="0.25">
      <c r="A45" s="30" t="s">
        <v>384</v>
      </c>
      <c r="B45" s="27" t="s">
        <v>39</v>
      </c>
      <c r="C45" s="27" t="s">
        <v>350</v>
      </c>
      <c r="D45" s="27" t="s">
        <v>102</v>
      </c>
      <c r="E45" s="28" t="s">
        <v>103</v>
      </c>
      <c r="F45" s="35" t="s">
        <v>194</v>
      </c>
      <c r="G45" s="27" t="s">
        <v>385</v>
      </c>
      <c r="H45" s="27" t="s">
        <v>386</v>
      </c>
      <c r="I45" s="27" t="s">
        <v>387</v>
      </c>
      <c r="J45" s="27" t="s">
        <v>388</v>
      </c>
      <c r="K45" s="27" t="s">
        <v>389</v>
      </c>
      <c r="L45" s="27" t="s">
        <v>390</v>
      </c>
      <c r="M45" s="28" t="s">
        <v>14</v>
      </c>
      <c r="N45" s="27" t="s">
        <v>111</v>
      </c>
      <c r="O45" s="27" t="s">
        <v>112</v>
      </c>
      <c r="P45" s="29" t="s">
        <v>113</v>
      </c>
      <c r="Q45" s="27" t="s">
        <v>121</v>
      </c>
    </row>
    <row r="46" spans="1:17" x14ac:dyDescent="0.25">
      <c r="A46" s="23" t="s">
        <v>391</v>
      </c>
      <c r="B46" s="24" t="s">
        <v>39</v>
      </c>
      <c r="C46" s="24" t="s">
        <v>350</v>
      </c>
      <c r="D46" s="24" t="s">
        <v>102</v>
      </c>
      <c r="E46" s="25" t="s">
        <v>141</v>
      </c>
      <c r="F46" s="32" t="s">
        <v>134</v>
      </c>
      <c r="G46" s="24" t="s">
        <v>392</v>
      </c>
      <c r="H46" s="24" t="s">
        <v>108</v>
      </c>
      <c r="I46" s="24" t="s">
        <v>393</v>
      </c>
      <c r="J46" s="24" t="s">
        <v>108</v>
      </c>
      <c r="K46" s="24" t="s">
        <v>394</v>
      </c>
      <c r="L46" s="27" t="s">
        <v>395</v>
      </c>
      <c r="M46" s="28" t="s">
        <v>14</v>
      </c>
      <c r="N46" s="27" t="s">
        <v>111</v>
      </c>
      <c r="O46" s="27" t="s">
        <v>112</v>
      </c>
      <c r="P46" s="29" t="s">
        <v>113</v>
      </c>
      <c r="Q46" s="27" t="s">
        <v>121</v>
      </c>
    </row>
    <row r="47" spans="1:17" x14ac:dyDescent="0.25">
      <c r="A47" s="30" t="s">
        <v>396</v>
      </c>
      <c r="B47" s="27" t="s">
        <v>39</v>
      </c>
      <c r="C47" s="27" t="s">
        <v>350</v>
      </c>
      <c r="D47" s="27" t="s">
        <v>102</v>
      </c>
      <c r="E47" s="28" t="s">
        <v>103</v>
      </c>
      <c r="F47" s="33" t="s">
        <v>134</v>
      </c>
      <c r="G47" s="27" t="s">
        <v>397</v>
      </c>
      <c r="H47" s="27" t="s">
        <v>108</v>
      </c>
      <c r="I47" s="27" t="s">
        <v>398</v>
      </c>
      <c r="J47" s="27" t="s">
        <v>108</v>
      </c>
      <c r="K47" s="27" t="s">
        <v>399</v>
      </c>
      <c r="L47" s="27" t="s">
        <v>400</v>
      </c>
      <c r="M47" s="28" t="s">
        <v>14</v>
      </c>
      <c r="N47" s="27" t="s">
        <v>111</v>
      </c>
      <c r="O47" s="27" t="s">
        <v>112</v>
      </c>
      <c r="P47" s="29" t="s">
        <v>113</v>
      </c>
      <c r="Q47" s="27" t="s">
        <v>121</v>
      </c>
    </row>
    <row r="48" spans="1:17" x14ac:dyDescent="0.25">
      <c r="A48" s="23" t="s">
        <v>401</v>
      </c>
      <c r="B48" s="24" t="s">
        <v>39</v>
      </c>
      <c r="C48" s="24" t="s">
        <v>402</v>
      </c>
      <c r="D48" s="24" t="s">
        <v>102</v>
      </c>
      <c r="E48" s="25" t="s">
        <v>141</v>
      </c>
      <c r="F48" s="34" t="s">
        <v>116</v>
      </c>
      <c r="G48" s="24" t="s">
        <v>403</v>
      </c>
      <c r="H48" s="24" t="s">
        <v>404</v>
      </c>
      <c r="I48" s="24" t="s">
        <v>405</v>
      </c>
      <c r="J48" s="24" t="s">
        <v>108</v>
      </c>
      <c r="K48" s="24" t="s">
        <v>406</v>
      </c>
      <c r="L48" s="27" t="s">
        <v>407</v>
      </c>
      <c r="M48" s="28" t="s">
        <v>14</v>
      </c>
      <c r="N48" s="27" t="s">
        <v>111</v>
      </c>
      <c r="O48" s="27" t="s">
        <v>112</v>
      </c>
      <c r="P48" s="29" t="s">
        <v>113</v>
      </c>
      <c r="Q48" s="27" t="s">
        <v>121</v>
      </c>
    </row>
    <row r="49" spans="1:17" x14ac:dyDescent="0.25">
      <c r="A49" s="30" t="s">
        <v>408</v>
      </c>
      <c r="B49" s="27" t="s">
        <v>40</v>
      </c>
      <c r="C49" s="27" t="s">
        <v>409</v>
      </c>
      <c r="D49" s="27" t="s">
        <v>234</v>
      </c>
      <c r="E49" s="28" t="s">
        <v>288</v>
      </c>
      <c r="F49" s="35" t="s">
        <v>194</v>
      </c>
      <c r="G49" s="27" t="s">
        <v>410</v>
      </c>
      <c r="H49" s="27" t="s">
        <v>411</v>
      </c>
      <c r="I49" s="27" t="s">
        <v>412</v>
      </c>
      <c r="J49" s="27" t="s">
        <v>108</v>
      </c>
      <c r="K49" s="27" t="s">
        <v>413</v>
      </c>
      <c r="L49" s="27" t="s">
        <v>414</v>
      </c>
      <c r="M49" s="28" t="s">
        <v>14</v>
      </c>
      <c r="N49" s="27" t="s">
        <v>111</v>
      </c>
      <c r="O49" s="27" t="s">
        <v>112</v>
      </c>
      <c r="P49" s="29" t="s">
        <v>113</v>
      </c>
      <c r="Q49" s="27" t="s">
        <v>415</v>
      </c>
    </row>
    <row r="50" spans="1:17" x14ac:dyDescent="0.25">
      <c r="A50" s="23" t="s">
        <v>416</v>
      </c>
      <c r="B50" s="24" t="s">
        <v>40</v>
      </c>
      <c r="C50" s="24" t="s">
        <v>409</v>
      </c>
      <c r="D50" s="24" t="s">
        <v>234</v>
      </c>
      <c r="E50" s="25" t="s">
        <v>167</v>
      </c>
      <c r="F50" s="26" t="s">
        <v>104</v>
      </c>
      <c r="G50" s="24" t="s">
        <v>417</v>
      </c>
      <c r="H50" s="24" t="s">
        <v>418</v>
      </c>
      <c r="I50" s="24" t="s">
        <v>419</v>
      </c>
      <c r="J50" s="24" t="s">
        <v>108</v>
      </c>
      <c r="K50" s="24" t="s">
        <v>420</v>
      </c>
      <c r="L50" s="27" t="s">
        <v>421</v>
      </c>
      <c r="M50" s="28" t="s">
        <v>14</v>
      </c>
      <c r="N50" s="27" t="s">
        <v>111</v>
      </c>
      <c r="O50" s="27" t="s">
        <v>112</v>
      </c>
      <c r="P50" s="29" t="s">
        <v>113</v>
      </c>
      <c r="Q50" s="27" t="s">
        <v>121</v>
      </c>
    </row>
    <row r="51" spans="1:17" x14ac:dyDescent="0.25">
      <c r="A51" s="30" t="s">
        <v>422</v>
      </c>
      <c r="B51" s="27" t="s">
        <v>40</v>
      </c>
      <c r="C51" s="27" t="s">
        <v>409</v>
      </c>
      <c r="D51" s="27" t="s">
        <v>234</v>
      </c>
      <c r="E51" s="28" t="s">
        <v>167</v>
      </c>
      <c r="F51" s="36" t="s">
        <v>104</v>
      </c>
      <c r="G51" s="27" t="s">
        <v>423</v>
      </c>
      <c r="H51" s="27" t="s">
        <v>418</v>
      </c>
      <c r="I51" s="27" t="s">
        <v>424</v>
      </c>
      <c r="J51" s="27" t="s">
        <v>425</v>
      </c>
      <c r="K51" s="27" t="s">
        <v>360</v>
      </c>
      <c r="L51" s="27" t="s">
        <v>361</v>
      </c>
      <c r="M51" s="28" t="s">
        <v>14</v>
      </c>
      <c r="N51" s="27" t="s">
        <v>111</v>
      </c>
      <c r="O51" s="27" t="s">
        <v>112</v>
      </c>
      <c r="P51" s="29" t="s">
        <v>113</v>
      </c>
      <c r="Q51" s="27" t="s">
        <v>121</v>
      </c>
    </row>
    <row r="52" spans="1:17" x14ac:dyDescent="0.25">
      <c r="A52" s="23" t="s">
        <v>426</v>
      </c>
      <c r="B52" s="24" t="s">
        <v>40</v>
      </c>
      <c r="C52" s="24" t="s">
        <v>409</v>
      </c>
      <c r="D52" s="24" t="s">
        <v>234</v>
      </c>
      <c r="E52" s="25" t="s">
        <v>103</v>
      </c>
      <c r="F52" s="37" t="s">
        <v>194</v>
      </c>
      <c r="G52" s="24" t="s">
        <v>427</v>
      </c>
      <c r="H52" s="24" t="s">
        <v>418</v>
      </c>
      <c r="I52" s="24" t="s">
        <v>428</v>
      </c>
      <c r="J52" s="24" t="s">
        <v>429</v>
      </c>
      <c r="K52" s="24" t="s">
        <v>430</v>
      </c>
      <c r="L52" s="27" t="s">
        <v>431</v>
      </c>
      <c r="M52" s="28" t="s">
        <v>14</v>
      </c>
      <c r="N52" s="27" t="s">
        <v>111</v>
      </c>
      <c r="O52" s="27" t="s">
        <v>112</v>
      </c>
      <c r="P52" s="29" t="s">
        <v>113</v>
      </c>
      <c r="Q52" s="27" t="s">
        <v>121</v>
      </c>
    </row>
    <row r="53" spans="1:17" x14ac:dyDescent="0.25">
      <c r="A53" s="30" t="s">
        <v>432</v>
      </c>
      <c r="B53" s="27" t="s">
        <v>40</v>
      </c>
      <c r="C53" s="27" t="s">
        <v>409</v>
      </c>
      <c r="D53" s="27" t="s">
        <v>234</v>
      </c>
      <c r="E53" s="28" t="s">
        <v>103</v>
      </c>
      <c r="F53" s="31" t="s">
        <v>116</v>
      </c>
      <c r="G53" s="27" t="s">
        <v>433</v>
      </c>
      <c r="H53" s="27" t="s">
        <v>418</v>
      </c>
      <c r="I53" s="27" t="s">
        <v>434</v>
      </c>
      <c r="J53" s="27" t="s">
        <v>108</v>
      </c>
      <c r="K53" s="27" t="s">
        <v>435</v>
      </c>
      <c r="L53" s="27" t="s">
        <v>436</v>
      </c>
      <c r="M53" s="28" t="s">
        <v>14</v>
      </c>
      <c r="N53" s="27" t="s">
        <v>111</v>
      </c>
      <c r="O53" s="27" t="s">
        <v>112</v>
      </c>
      <c r="P53" s="29" t="s">
        <v>113</v>
      </c>
      <c r="Q53" s="27" t="s">
        <v>121</v>
      </c>
    </row>
    <row r="54" spans="1:17" x14ac:dyDescent="0.25">
      <c r="A54" s="23" t="s">
        <v>437</v>
      </c>
      <c r="B54" s="24" t="s">
        <v>40</v>
      </c>
      <c r="C54" s="24" t="s">
        <v>409</v>
      </c>
      <c r="D54" s="24" t="s">
        <v>102</v>
      </c>
      <c r="E54" s="25" t="s">
        <v>288</v>
      </c>
      <c r="F54" s="26" t="s">
        <v>104</v>
      </c>
      <c r="G54" s="24" t="s">
        <v>438</v>
      </c>
      <c r="H54" s="24" t="s">
        <v>439</v>
      </c>
      <c r="I54" s="24" t="s">
        <v>440</v>
      </c>
      <c r="J54" s="24" t="s">
        <v>108</v>
      </c>
      <c r="K54" s="24" t="s">
        <v>441</v>
      </c>
      <c r="L54" s="27" t="s">
        <v>442</v>
      </c>
      <c r="M54" s="28" t="s">
        <v>14</v>
      </c>
      <c r="N54" s="27" t="s">
        <v>111</v>
      </c>
      <c r="O54" s="27" t="s">
        <v>112</v>
      </c>
      <c r="P54" s="29" t="s">
        <v>113</v>
      </c>
      <c r="Q54" s="27" t="s">
        <v>121</v>
      </c>
    </row>
    <row r="55" spans="1:17" x14ac:dyDescent="0.25">
      <c r="A55" s="30" t="s">
        <v>443</v>
      </c>
      <c r="B55" s="27" t="s">
        <v>40</v>
      </c>
      <c r="C55" s="27" t="s">
        <v>409</v>
      </c>
      <c r="D55" s="27" t="s">
        <v>234</v>
      </c>
      <c r="E55" s="28" t="s">
        <v>103</v>
      </c>
      <c r="F55" s="31" t="s">
        <v>116</v>
      </c>
      <c r="G55" s="27" t="s">
        <v>444</v>
      </c>
      <c r="H55" s="27" t="s">
        <v>445</v>
      </c>
      <c r="I55" s="27" t="s">
        <v>440</v>
      </c>
      <c r="J55" s="27" t="s">
        <v>108</v>
      </c>
      <c r="K55" s="27" t="s">
        <v>446</v>
      </c>
      <c r="L55" s="27" t="s">
        <v>447</v>
      </c>
      <c r="M55" s="28" t="s">
        <v>14</v>
      </c>
      <c r="N55" s="27" t="s">
        <v>111</v>
      </c>
      <c r="O55" s="27" t="s">
        <v>112</v>
      </c>
      <c r="P55" s="29" t="s">
        <v>113</v>
      </c>
      <c r="Q55" s="27" t="s">
        <v>121</v>
      </c>
    </row>
    <row r="56" spans="1:17" x14ac:dyDescent="0.25">
      <c r="A56" s="23" t="s">
        <v>448</v>
      </c>
      <c r="B56" s="24" t="s">
        <v>41</v>
      </c>
      <c r="C56" s="24" t="s">
        <v>449</v>
      </c>
      <c r="D56" s="24" t="s">
        <v>102</v>
      </c>
      <c r="E56" s="25" t="s">
        <v>288</v>
      </c>
      <c r="F56" s="37" t="s">
        <v>194</v>
      </c>
      <c r="G56" s="24" t="s">
        <v>450</v>
      </c>
      <c r="H56" s="24" t="s">
        <v>439</v>
      </c>
      <c r="I56" s="24" t="s">
        <v>451</v>
      </c>
      <c r="J56" s="24" t="s">
        <v>108</v>
      </c>
      <c r="K56" s="24" t="s">
        <v>452</v>
      </c>
      <c r="L56" s="27" t="s">
        <v>453</v>
      </c>
      <c r="M56" s="28" t="s">
        <v>14</v>
      </c>
      <c r="N56" s="27" t="s">
        <v>111</v>
      </c>
      <c r="O56" s="27" t="s">
        <v>112</v>
      </c>
      <c r="P56" s="29" t="s">
        <v>113</v>
      </c>
      <c r="Q56" s="27" t="s">
        <v>121</v>
      </c>
    </row>
    <row r="57" spans="1:17" x14ac:dyDescent="0.25">
      <c r="A57" s="30" t="s">
        <v>454</v>
      </c>
      <c r="B57" s="27" t="s">
        <v>41</v>
      </c>
      <c r="C57" s="27" t="s">
        <v>449</v>
      </c>
      <c r="D57" s="27" t="s">
        <v>455</v>
      </c>
      <c r="E57" s="28" t="s">
        <v>288</v>
      </c>
      <c r="F57" s="35" t="s">
        <v>194</v>
      </c>
      <c r="G57" s="27" t="s">
        <v>456</v>
      </c>
      <c r="H57" s="27" t="s">
        <v>457</v>
      </c>
      <c r="I57" s="27" t="s">
        <v>458</v>
      </c>
      <c r="J57" s="27" t="s">
        <v>108</v>
      </c>
      <c r="K57" s="27" t="s">
        <v>459</v>
      </c>
      <c r="L57" s="27" t="s">
        <v>460</v>
      </c>
      <c r="M57" s="28" t="s">
        <v>14</v>
      </c>
      <c r="N57" s="27" t="s">
        <v>111</v>
      </c>
      <c r="O57" s="27" t="s">
        <v>112</v>
      </c>
      <c r="P57" s="29" t="s">
        <v>113</v>
      </c>
      <c r="Q57" s="27" t="s">
        <v>121</v>
      </c>
    </row>
    <row r="58" spans="1:17" x14ac:dyDescent="0.25">
      <c r="A58" s="23" t="s">
        <v>461</v>
      </c>
      <c r="B58" s="24" t="s">
        <v>41</v>
      </c>
      <c r="C58" s="24" t="s">
        <v>449</v>
      </c>
      <c r="D58" s="24" t="s">
        <v>455</v>
      </c>
      <c r="E58" s="25" t="s">
        <v>288</v>
      </c>
      <c r="F58" s="37" t="s">
        <v>194</v>
      </c>
      <c r="G58" s="24" t="s">
        <v>462</v>
      </c>
      <c r="H58" s="24" t="s">
        <v>457</v>
      </c>
      <c r="I58" s="24" t="s">
        <v>463</v>
      </c>
      <c r="J58" s="24" t="s">
        <v>108</v>
      </c>
      <c r="K58" s="24" t="s">
        <v>446</v>
      </c>
      <c r="L58" s="27" t="s">
        <v>447</v>
      </c>
      <c r="M58" s="28" t="s">
        <v>14</v>
      </c>
      <c r="N58" s="27" t="s">
        <v>111</v>
      </c>
      <c r="O58" s="27" t="s">
        <v>112</v>
      </c>
      <c r="P58" s="29" t="s">
        <v>113</v>
      </c>
      <c r="Q58" s="27" t="s">
        <v>121</v>
      </c>
    </row>
    <row r="59" spans="1:17" x14ac:dyDescent="0.25">
      <c r="A59" s="30" t="s">
        <v>464</v>
      </c>
      <c r="B59" s="27" t="s">
        <v>41</v>
      </c>
      <c r="C59" s="27" t="s">
        <v>449</v>
      </c>
      <c r="D59" s="27" t="s">
        <v>455</v>
      </c>
      <c r="E59" s="28" t="s">
        <v>288</v>
      </c>
      <c r="F59" s="36" t="s">
        <v>104</v>
      </c>
      <c r="G59" s="27" t="s">
        <v>465</v>
      </c>
      <c r="H59" s="27" t="s">
        <v>457</v>
      </c>
      <c r="I59" s="27" t="s">
        <v>466</v>
      </c>
      <c r="J59" s="27" t="s">
        <v>108</v>
      </c>
      <c r="K59" s="27" t="s">
        <v>467</v>
      </c>
      <c r="L59" s="27" t="s">
        <v>468</v>
      </c>
      <c r="M59" s="28" t="s">
        <v>14</v>
      </c>
      <c r="N59" s="27" t="s">
        <v>111</v>
      </c>
      <c r="O59" s="27" t="s">
        <v>112</v>
      </c>
      <c r="P59" s="29" t="s">
        <v>113</v>
      </c>
      <c r="Q59" s="27" t="s">
        <v>469</v>
      </c>
    </row>
    <row r="60" spans="1:17" x14ac:dyDescent="0.25">
      <c r="A60" s="23" t="s">
        <v>470</v>
      </c>
      <c r="B60" s="24" t="s">
        <v>41</v>
      </c>
      <c r="C60" s="24" t="s">
        <v>449</v>
      </c>
      <c r="D60" s="24" t="s">
        <v>193</v>
      </c>
      <c r="E60" s="25" t="s">
        <v>103</v>
      </c>
      <c r="F60" s="34" t="s">
        <v>116</v>
      </c>
      <c r="G60" s="24" t="s">
        <v>471</v>
      </c>
      <c r="H60" s="24" t="s">
        <v>472</v>
      </c>
      <c r="I60" s="24" t="s">
        <v>473</v>
      </c>
      <c r="J60" s="24" t="s">
        <v>108</v>
      </c>
      <c r="K60" s="24" t="s">
        <v>474</v>
      </c>
      <c r="L60" s="27" t="s">
        <v>475</v>
      </c>
      <c r="M60" s="28" t="s">
        <v>14</v>
      </c>
      <c r="N60" s="27" t="s">
        <v>111</v>
      </c>
      <c r="O60" s="27" t="s">
        <v>112</v>
      </c>
      <c r="P60" s="29" t="s">
        <v>113</v>
      </c>
      <c r="Q60" s="27" t="s">
        <v>121</v>
      </c>
    </row>
    <row r="61" spans="1:17" x14ac:dyDescent="0.25">
      <c r="A61" s="30" t="s">
        <v>476</v>
      </c>
      <c r="B61" s="27" t="s">
        <v>41</v>
      </c>
      <c r="C61" s="27" t="s">
        <v>477</v>
      </c>
      <c r="D61" s="27" t="s">
        <v>133</v>
      </c>
      <c r="E61" s="28" t="s">
        <v>103</v>
      </c>
      <c r="F61" s="35" t="s">
        <v>194</v>
      </c>
      <c r="G61" s="27" t="s">
        <v>478</v>
      </c>
      <c r="H61" s="27" t="s">
        <v>479</v>
      </c>
      <c r="I61" s="27" t="s">
        <v>480</v>
      </c>
      <c r="J61" s="27" t="s">
        <v>108</v>
      </c>
      <c r="K61" s="27" t="s">
        <v>481</v>
      </c>
      <c r="L61" s="27" t="s">
        <v>482</v>
      </c>
      <c r="M61" s="28" t="s">
        <v>14</v>
      </c>
      <c r="N61" s="27" t="s">
        <v>111</v>
      </c>
      <c r="O61" s="27" t="s">
        <v>112</v>
      </c>
      <c r="P61" s="29" t="s">
        <v>113</v>
      </c>
      <c r="Q61" s="27" t="s">
        <v>483</v>
      </c>
    </row>
    <row r="62" spans="1:17" x14ac:dyDescent="0.25">
      <c r="A62" s="23" t="s">
        <v>484</v>
      </c>
      <c r="B62" s="24" t="s">
        <v>41</v>
      </c>
      <c r="C62" s="24" t="s">
        <v>477</v>
      </c>
      <c r="D62" s="24" t="s">
        <v>133</v>
      </c>
      <c r="E62" s="25" t="s">
        <v>103</v>
      </c>
      <c r="F62" s="37" t="s">
        <v>194</v>
      </c>
      <c r="G62" s="24" t="s">
        <v>485</v>
      </c>
      <c r="H62" s="24" t="s">
        <v>486</v>
      </c>
      <c r="I62" s="24" t="s">
        <v>487</v>
      </c>
      <c r="J62" s="24" t="s">
        <v>108</v>
      </c>
      <c r="K62" s="24" t="s">
        <v>488</v>
      </c>
      <c r="L62" s="27" t="s">
        <v>489</v>
      </c>
      <c r="M62" s="28" t="s">
        <v>14</v>
      </c>
      <c r="N62" s="27" t="s">
        <v>111</v>
      </c>
      <c r="O62" s="27" t="s">
        <v>112</v>
      </c>
      <c r="P62" s="29" t="s">
        <v>113</v>
      </c>
      <c r="Q62" s="27" t="s">
        <v>121</v>
      </c>
    </row>
    <row r="63" spans="1:17" x14ac:dyDescent="0.25">
      <c r="A63" s="30" t="s">
        <v>490</v>
      </c>
      <c r="B63" s="27" t="s">
        <v>41</v>
      </c>
      <c r="C63" s="27" t="s">
        <v>477</v>
      </c>
      <c r="D63" s="27" t="s">
        <v>133</v>
      </c>
      <c r="E63" s="28" t="s">
        <v>103</v>
      </c>
      <c r="F63" s="36" t="s">
        <v>104</v>
      </c>
      <c r="G63" s="27" t="s">
        <v>491</v>
      </c>
      <c r="H63" s="27" t="s">
        <v>486</v>
      </c>
      <c r="I63" s="27" t="s">
        <v>434</v>
      </c>
      <c r="J63" s="27" t="s">
        <v>108</v>
      </c>
      <c r="K63" s="27" t="s">
        <v>492</v>
      </c>
      <c r="L63" s="27" t="s">
        <v>493</v>
      </c>
      <c r="M63" s="28" t="s">
        <v>14</v>
      </c>
      <c r="N63" s="27" t="s">
        <v>111</v>
      </c>
      <c r="O63" s="27" t="s">
        <v>112</v>
      </c>
      <c r="P63" s="29" t="s">
        <v>113</v>
      </c>
      <c r="Q63" s="27" t="s">
        <v>121</v>
      </c>
    </row>
    <row r="64" spans="1:17" x14ac:dyDescent="0.25">
      <c r="A64" s="23" t="s">
        <v>494</v>
      </c>
      <c r="B64" s="24" t="s">
        <v>41</v>
      </c>
      <c r="C64" s="24" t="s">
        <v>477</v>
      </c>
      <c r="D64" s="24" t="s">
        <v>133</v>
      </c>
      <c r="E64" s="25" t="s">
        <v>103</v>
      </c>
      <c r="F64" s="26" t="s">
        <v>104</v>
      </c>
      <c r="G64" s="24" t="s">
        <v>495</v>
      </c>
      <c r="H64" s="24" t="s">
        <v>486</v>
      </c>
      <c r="I64" s="24" t="s">
        <v>496</v>
      </c>
      <c r="J64" s="24" t="s">
        <v>108</v>
      </c>
      <c r="K64" s="24" t="s">
        <v>497</v>
      </c>
      <c r="L64" s="27" t="s">
        <v>498</v>
      </c>
      <c r="M64" s="28" t="s">
        <v>14</v>
      </c>
      <c r="N64" s="27" t="s">
        <v>111</v>
      </c>
      <c r="O64" s="27" t="s">
        <v>112</v>
      </c>
      <c r="P64" s="29" t="s">
        <v>113</v>
      </c>
      <c r="Q64" s="27" t="s">
        <v>121</v>
      </c>
    </row>
    <row r="65" spans="1:17" x14ac:dyDescent="0.25">
      <c r="A65" s="30" t="s">
        <v>499</v>
      </c>
      <c r="B65" s="27" t="s">
        <v>41</v>
      </c>
      <c r="C65" s="27" t="s">
        <v>477</v>
      </c>
      <c r="D65" s="27" t="s">
        <v>133</v>
      </c>
      <c r="E65" s="28" t="s">
        <v>141</v>
      </c>
      <c r="F65" s="31" t="s">
        <v>116</v>
      </c>
      <c r="G65" s="27" t="s">
        <v>500</v>
      </c>
      <c r="H65" s="27" t="s">
        <v>486</v>
      </c>
      <c r="I65" s="27" t="s">
        <v>501</v>
      </c>
      <c r="J65" s="27" t="s">
        <v>108</v>
      </c>
      <c r="K65" s="27" t="s">
        <v>502</v>
      </c>
      <c r="L65" s="27" t="s">
        <v>503</v>
      </c>
      <c r="M65" s="28" t="s">
        <v>14</v>
      </c>
      <c r="N65" s="27" t="s">
        <v>111</v>
      </c>
      <c r="O65" s="27" t="s">
        <v>112</v>
      </c>
      <c r="P65" s="29" t="s">
        <v>113</v>
      </c>
      <c r="Q65" s="27" t="s">
        <v>504</v>
      </c>
    </row>
    <row r="66" spans="1:17" x14ac:dyDescent="0.25">
      <c r="A66" s="23" t="s">
        <v>505</v>
      </c>
      <c r="B66" s="24" t="s">
        <v>41</v>
      </c>
      <c r="C66" s="24" t="s">
        <v>477</v>
      </c>
      <c r="D66" s="24" t="s">
        <v>133</v>
      </c>
      <c r="E66" s="25" t="s">
        <v>103</v>
      </c>
      <c r="F66" s="34" t="s">
        <v>116</v>
      </c>
      <c r="G66" s="24" t="s">
        <v>506</v>
      </c>
      <c r="H66" s="24" t="s">
        <v>507</v>
      </c>
      <c r="I66" s="24" t="s">
        <v>508</v>
      </c>
      <c r="J66" s="24" t="s">
        <v>108</v>
      </c>
      <c r="K66" s="24" t="s">
        <v>509</v>
      </c>
      <c r="L66" s="27" t="s">
        <v>510</v>
      </c>
      <c r="M66" s="28" t="s">
        <v>14</v>
      </c>
      <c r="N66" s="27" t="s">
        <v>111</v>
      </c>
      <c r="O66" s="27" t="s">
        <v>112</v>
      </c>
      <c r="P66" s="29" t="s">
        <v>113</v>
      </c>
      <c r="Q66" s="27" t="s">
        <v>121</v>
      </c>
    </row>
    <row r="67" spans="1:17" x14ac:dyDescent="0.25">
      <c r="A67" s="30" t="s">
        <v>511</v>
      </c>
      <c r="B67" s="27" t="s">
        <v>41</v>
      </c>
      <c r="C67" s="27" t="s">
        <v>512</v>
      </c>
      <c r="D67" s="27" t="s">
        <v>133</v>
      </c>
      <c r="E67" s="28" t="s">
        <v>103</v>
      </c>
      <c r="F67" s="35" t="s">
        <v>194</v>
      </c>
      <c r="G67" s="27" t="s">
        <v>513</v>
      </c>
      <c r="H67" s="27" t="s">
        <v>507</v>
      </c>
      <c r="I67" s="27" t="s">
        <v>514</v>
      </c>
      <c r="J67" s="27" t="s">
        <v>108</v>
      </c>
      <c r="K67" s="27" t="s">
        <v>515</v>
      </c>
      <c r="L67" s="27" t="s">
        <v>516</v>
      </c>
      <c r="M67" s="28" t="s">
        <v>14</v>
      </c>
      <c r="N67" s="27" t="s">
        <v>111</v>
      </c>
      <c r="O67" s="27" t="s">
        <v>112</v>
      </c>
      <c r="P67" s="29" t="s">
        <v>113</v>
      </c>
      <c r="Q67" s="27" t="s">
        <v>121</v>
      </c>
    </row>
    <row r="68" spans="1:17" x14ac:dyDescent="0.25">
      <c r="A68" s="23" t="s">
        <v>517</v>
      </c>
      <c r="B68" s="24" t="s">
        <v>41</v>
      </c>
      <c r="C68" s="24" t="s">
        <v>512</v>
      </c>
      <c r="D68" s="24" t="s">
        <v>133</v>
      </c>
      <c r="E68" s="25" t="s">
        <v>288</v>
      </c>
      <c r="F68" s="26" t="s">
        <v>104</v>
      </c>
      <c r="G68" s="24" t="s">
        <v>518</v>
      </c>
      <c r="H68" s="24" t="s">
        <v>519</v>
      </c>
      <c r="I68" s="24" t="s">
        <v>520</v>
      </c>
      <c r="J68" s="24" t="s">
        <v>108</v>
      </c>
      <c r="K68" s="24" t="s">
        <v>521</v>
      </c>
      <c r="L68" s="27" t="s">
        <v>522</v>
      </c>
      <c r="M68" s="28" t="s">
        <v>14</v>
      </c>
      <c r="N68" s="27" t="s">
        <v>111</v>
      </c>
      <c r="O68" s="27" t="s">
        <v>112</v>
      </c>
      <c r="P68" s="29" t="s">
        <v>113</v>
      </c>
      <c r="Q68" s="27" t="s">
        <v>121</v>
      </c>
    </row>
    <row r="69" spans="1:17" x14ac:dyDescent="0.25">
      <c r="A69" s="30" t="s">
        <v>523</v>
      </c>
      <c r="B69" s="27" t="s">
        <v>41</v>
      </c>
      <c r="C69" s="27" t="s">
        <v>524</v>
      </c>
      <c r="D69" s="27" t="s">
        <v>133</v>
      </c>
      <c r="E69" s="28" t="s">
        <v>103</v>
      </c>
      <c r="F69" s="31" t="s">
        <v>116</v>
      </c>
      <c r="G69" s="27" t="s">
        <v>525</v>
      </c>
      <c r="H69" s="27" t="s">
        <v>526</v>
      </c>
      <c r="I69" s="27" t="s">
        <v>527</v>
      </c>
      <c r="J69" s="27" t="s">
        <v>108</v>
      </c>
      <c r="K69" s="27" t="s">
        <v>528</v>
      </c>
      <c r="L69" s="27" t="s">
        <v>529</v>
      </c>
      <c r="M69" s="28" t="s">
        <v>14</v>
      </c>
      <c r="N69" s="27" t="s">
        <v>111</v>
      </c>
      <c r="O69" s="27" t="s">
        <v>112</v>
      </c>
      <c r="P69" s="29" t="s">
        <v>113</v>
      </c>
      <c r="Q69" s="27" t="s">
        <v>121</v>
      </c>
    </row>
    <row r="70" spans="1:17" x14ac:dyDescent="0.25">
      <c r="A70" s="23" t="s">
        <v>530</v>
      </c>
      <c r="B70" s="24" t="s">
        <v>41</v>
      </c>
      <c r="C70" s="24" t="s">
        <v>531</v>
      </c>
      <c r="D70" s="24" t="s">
        <v>133</v>
      </c>
      <c r="E70" s="25" t="s">
        <v>103</v>
      </c>
      <c r="F70" s="26" t="s">
        <v>104</v>
      </c>
      <c r="G70" s="24" t="s">
        <v>532</v>
      </c>
      <c r="H70" s="24" t="s">
        <v>507</v>
      </c>
      <c r="I70" s="24" t="s">
        <v>533</v>
      </c>
      <c r="J70" s="24" t="s">
        <v>108</v>
      </c>
      <c r="K70" s="24" t="s">
        <v>534</v>
      </c>
      <c r="L70" s="27" t="s">
        <v>535</v>
      </c>
      <c r="M70" s="28" t="s">
        <v>14</v>
      </c>
      <c r="N70" s="27" t="s">
        <v>111</v>
      </c>
      <c r="O70" s="27" t="s">
        <v>112</v>
      </c>
      <c r="P70" s="29" t="s">
        <v>113</v>
      </c>
      <c r="Q70" s="27" t="s">
        <v>121</v>
      </c>
    </row>
    <row r="71" spans="1:17" x14ac:dyDescent="0.25">
      <c r="A71" s="30" t="s">
        <v>536</v>
      </c>
      <c r="B71" s="27" t="s">
        <v>42</v>
      </c>
      <c r="C71" s="27" t="s">
        <v>537</v>
      </c>
      <c r="D71" s="27" t="s">
        <v>193</v>
      </c>
      <c r="E71" s="28" t="s">
        <v>103</v>
      </c>
      <c r="F71" s="36" t="s">
        <v>104</v>
      </c>
      <c r="G71" s="27" t="s">
        <v>538</v>
      </c>
      <c r="H71" s="27" t="s">
        <v>539</v>
      </c>
      <c r="I71" s="27" t="s">
        <v>540</v>
      </c>
      <c r="J71" s="27" t="s">
        <v>108</v>
      </c>
      <c r="K71" s="27" t="s">
        <v>541</v>
      </c>
      <c r="L71" s="27" t="s">
        <v>542</v>
      </c>
      <c r="M71" s="28" t="s">
        <v>14</v>
      </c>
      <c r="N71" s="27" t="s">
        <v>111</v>
      </c>
      <c r="O71" s="27" t="s">
        <v>112</v>
      </c>
      <c r="P71" s="29" t="s">
        <v>113</v>
      </c>
      <c r="Q71" s="27" t="s">
        <v>121</v>
      </c>
    </row>
    <row r="72" spans="1:17" x14ac:dyDescent="0.25">
      <c r="A72" s="23" t="s">
        <v>543</v>
      </c>
      <c r="B72" s="24" t="s">
        <v>42</v>
      </c>
      <c r="C72" s="24" t="s">
        <v>537</v>
      </c>
      <c r="D72" s="24" t="s">
        <v>544</v>
      </c>
      <c r="E72" s="25" t="s">
        <v>103</v>
      </c>
      <c r="F72" s="26" t="s">
        <v>104</v>
      </c>
      <c r="G72" s="24" t="s">
        <v>545</v>
      </c>
      <c r="H72" s="24" t="s">
        <v>546</v>
      </c>
      <c r="I72" s="24" t="s">
        <v>540</v>
      </c>
      <c r="J72" s="24" t="s">
        <v>108</v>
      </c>
      <c r="K72" s="24" t="s">
        <v>547</v>
      </c>
      <c r="L72" s="27" t="s">
        <v>548</v>
      </c>
      <c r="M72" s="28" t="s">
        <v>14</v>
      </c>
      <c r="N72" s="27" t="s">
        <v>111</v>
      </c>
      <c r="O72" s="27" t="s">
        <v>112</v>
      </c>
      <c r="P72" s="29" t="s">
        <v>113</v>
      </c>
      <c r="Q72" s="27" t="s">
        <v>121</v>
      </c>
    </row>
    <row r="73" spans="1:17" x14ac:dyDescent="0.25">
      <c r="A73" s="30" t="s">
        <v>549</v>
      </c>
      <c r="B73" s="27" t="s">
        <v>42</v>
      </c>
      <c r="C73" s="27" t="s">
        <v>537</v>
      </c>
      <c r="D73" s="27" t="s">
        <v>133</v>
      </c>
      <c r="E73" s="28" t="s">
        <v>141</v>
      </c>
      <c r="F73" s="31" t="s">
        <v>116</v>
      </c>
      <c r="G73" s="27" t="s">
        <v>550</v>
      </c>
      <c r="H73" s="27" t="s">
        <v>507</v>
      </c>
      <c r="I73" s="27" t="s">
        <v>551</v>
      </c>
      <c r="J73" s="27" t="s">
        <v>108</v>
      </c>
      <c r="K73" s="27" t="s">
        <v>552</v>
      </c>
      <c r="L73" s="27" t="s">
        <v>553</v>
      </c>
      <c r="M73" s="28" t="s">
        <v>14</v>
      </c>
      <c r="N73" s="27" t="s">
        <v>111</v>
      </c>
      <c r="O73" s="27" t="s">
        <v>112</v>
      </c>
      <c r="P73" s="29" t="s">
        <v>113</v>
      </c>
      <c r="Q73" s="27" t="s">
        <v>121</v>
      </c>
    </row>
    <row r="74" spans="1:17" x14ac:dyDescent="0.25">
      <c r="A74" s="23" t="s">
        <v>554</v>
      </c>
      <c r="B74" s="24" t="s">
        <v>42</v>
      </c>
      <c r="C74" s="24" t="s">
        <v>555</v>
      </c>
      <c r="D74" s="24" t="s">
        <v>133</v>
      </c>
      <c r="E74" s="25" t="s">
        <v>103</v>
      </c>
      <c r="F74" s="26" t="s">
        <v>104</v>
      </c>
      <c r="G74" s="24" t="s">
        <v>556</v>
      </c>
      <c r="H74" s="24" t="s">
        <v>507</v>
      </c>
      <c r="I74" s="24" t="s">
        <v>557</v>
      </c>
      <c r="J74" s="24" t="s">
        <v>108</v>
      </c>
      <c r="K74" s="24" t="s">
        <v>558</v>
      </c>
      <c r="L74" s="27" t="s">
        <v>559</v>
      </c>
      <c r="M74" s="28" t="s">
        <v>14</v>
      </c>
      <c r="N74" s="27" t="s">
        <v>111</v>
      </c>
      <c r="O74" s="27" t="s">
        <v>112</v>
      </c>
      <c r="P74" s="29" t="s">
        <v>113</v>
      </c>
      <c r="Q74" s="27" t="s">
        <v>121</v>
      </c>
    </row>
    <row r="75" spans="1:17" x14ac:dyDescent="0.25">
      <c r="A75" s="30" t="s">
        <v>560</v>
      </c>
      <c r="B75" s="27" t="s">
        <v>42</v>
      </c>
      <c r="C75" s="27" t="s">
        <v>555</v>
      </c>
      <c r="D75" s="27" t="s">
        <v>193</v>
      </c>
      <c r="E75" s="28" t="s">
        <v>103</v>
      </c>
      <c r="F75" s="31" t="s">
        <v>116</v>
      </c>
      <c r="G75" s="27" t="s">
        <v>561</v>
      </c>
      <c r="H75" s="27" t="s">
        <v>539</v>
      </c>
      <c r="I75" s="27" t="s">
        <v>562</v>
      </c>
      <c r="J75" s="27" t="s">
        <v>108</v>
      </c>
      <c r="K75" s="27" t="s">
        <v>563</v>
      </c>
      <c r="L75" s="27" t="s">
        <v>564</v>
      </c>
      <c r="M75" s="28" t="s">
        <v>14</v>
      </c>
      <c r="N75" s="27" t="s">
        <v>111</v>
      </c>
      <c r="O75" s="27" t="s">
        <v>112</v>
      </c>
      <c r="P75" s="29" t="s">
        <v>113</v>
      </c>
      <c r="Q75" s="27" t="s">
        <v>121</v>
      </c>
    </row>
    <row r="76" spans="1:17" x14ac:dyDescent="0.25">
      <c r="A76" s="23" t="s">
        <v>565</v>
      </c>
      <c r="B76" s="24" t="s">
        <v>42</v>
      </c>
      <c r="C76" s="24" t="s">
        <v>555</v>
      </c>
      <c r="D76" s="24" t="s">
        <v>133</v>
      </c>
      <c r="E76" s="25" t="s">
        <v>141</v>
      </c>
      <c r="F76" s="32" t="s">
        <v>134</v>
      </c>
      <c r="G76" s="24" t="s">
        <v>566</v>
      </c>
      <c r="H76" s="24" t="s">
        <v>567</v>
      </c>
      <c r="I76" s="24" t="s">
        <v>568</v>
      </c>
      <c r="J76" s="24" t="s">
        <v>108</v>
      </c>
      <c r="K76" s="24" t="s">
        <v>569</v>
      </c>
      <c r="L76" s="27" t="s">
        <v>570</v>
      </c>
      <c r="M76" s="28" t="s">
        <v>14</v>
      </c>
      <c r="N76" s="27" t="s">
        <v>111</v>
      </c>
      <c r="O76" s="27" t="s">
        <v>112</v>
      </c>
      <c r="P76" s="29" t="s">
        <v>113</v>
      </c>
      <c r="Q76" s="27" t="s">
        <v>121</v>
      </c>
    </row>
    <row r="77" spans="1:17" x14ac:dyDescent="0.25">
      <c r="A77" s="30" t="s">
        <v>571</v>
      </c>
      <c r="B77" s="27" t="s">
        <v>42</v>
      </c>
      <c r="C77" s="27" t="s">
        <v>572</v>
      </c>
      <c r="D77" s="27" t="s">
        <v>133</v>
      </c>
      <c r="E77" s="28" t="s">
        <v>103</v>
      </c>
      <c r="F77" s="31" t="s">
        <v>116</v>
      </c>
      <c r="G77" s="27" t="s">
        <v>573</v>
      </c>
      <c r="H77" s="27" t="s">
        <v>507</v>
      </c>
      <c r="I77" s="27" t="s">
        <v>574</v>
      </c>
      <c r="J77" s="27" t="s">
        <v>108</v>
      </c>
      <c r="K77" s="27" t="s">
        <v>575</v>
      </c>
      <c r="L77" s="27" t="s">
        <v>576</v>
      </c>
      <c r="M77" s="28" t="s">
        <v>14</v>
      </c>
      <c r="N77" s="27" t="s">
        <v>111</v>
      </c>
      <c r="O77" s="27" t="s">
        <v>112</v>
      </c>
      <c r="P77" s="29" t="s">
        <v>113</v>
      </c>
      <c r="Q77" s="27" t="s">
        <v>121</v>
      </c>
    </row>
    <row r="78" spans="1:17" x14ac:dyDescent="0.25">
      <c r="A78" s="23" t="s">
        <v>577</v>
      </c>
      <c r="B78" s="24" t="s">
        <v>42</v>
      </c>
      <c r="C78" s="24" t="s">
        <v>572</v>
      </c>
      <c r="D78" s="24" t="s">
        <v>133</v>
      </c>
      <c r="E78" s="25" t="s">
        <v>103</v>
      </c>
      <c r="F78" s="32" t="s">
        <v>134</v>
      </c>
      <c r="G78" s="24" t="s">
        <v>578</v>
      </c>
      <c r="H78" s="24" t="s">
        <v>507</v>
      </c>
      <c r="I78" s="24" t="s">
        <v>579</v>
      </c>
      <c r="J78" s="24" t="s">
        <v>108</v>
      </c>
      <c r="K78" s="24" t="s">
        <v>580</v>
      </c>
      <c r="L78" s="27" t="s">
        <v>581</v>
      </c>
      <c r="M78" s="28" t="s">
        <v>14</v>
      </c>
      <c r="N78" s="27" t="s">
        <v>111</v>
      </c>
      <c r="O78" s="27" t="s">
        <v>112</v>
      </c>
      <c r="P78" s="29" t="s">
        <v>113</v>
      </c>
      <c r="Q78" s="27" t="s">
        <v>121</v>
      </c>
    </row>
    <row r="79" spans="1:17" x14ac:dyDescent="0.25">
      <c r="A79" s="30" t="s">
        <v>582</v>
      </c>
      <c r="B79" s="27" t="s">
        <v>42</v>
      </c>
      <c r="C79" s="27" t="s">
        <v>572</v>
      </c>
      <c r="D79" s="27" t="s">
        <v>133</v>
      </c>
      <c r="E79" s="28" t="s">
        <v>103</v>
      </c>
      <c r="F79" s="31" t="s">
        <v>116</v>
      </c>
      <c r="G79" s="27" t="s">
        <v>583</v>
      </c>
      <c r="H79" s="27" t="s">
        <v>584</v>
      </c>
      <c r="I79" s="27" t="s">
        <v>585</v>
      </c>
      <c r="J79" s="27" t="s">
        <v>108</v>
      </c>
      <c r="K79" s="27" t="s">
        <v>586</v>
      </c>
      <c r="L79" s="27" t="s">
        <v>587</v>
      </c>
      <c r="M79" s="28" t="s">
        <v>14</v>
      </c>
      <c r="N79" s="27" t="s">
        <v>111</v>
      </c>
      <c r="O79" s="27" t="s">
        <v>112</v>
      </c>
      <c r="P79" s="29" t="s">
        <v>113</v>
      </c>
      <c r="Q79" s="27" t="s">
        <v>121</v>
      </c>
    </row>
    <row r="80" spans="1:17" x14ac:dyDescent="0.25">
      <c r="A80" s="23" t="s">
        <v>588</v>
      </c>
      <c r="B80" s="24" t="s">
        <v>42</v>
      </c>
      <c r="C80" s="24" t="s">
        <v>572</v>
      </c>
      <c r="D80" s="24" t="s">
        <v>133</v>
      </c>
      <c r="E80" s="25" t="s">
        <v>103</v>
      </c>
      <c r="F80" s="34" t="s">
        <v>116</v>
      </c>
      <c r="G80" s="24" t="s">
        <v>589</v>
      </c>
      <c r="H80" s="24" t="s">
        <v>590</v>
      </c>
      <c r="I80" s="24" t="s">
        <v>591</v>
      </c>
      <c r="J80" s="24" t="s">
        <v>108</v>
      </c>
      <c r="K80" s="24" t="s">
        <v>592</v>
      </c>
      <c r="L80" s="27" t="s">
        <v>593</v>
      </c>
      <c r="M80" s="28" t="s">
        <v>14</v>
      </c>
      <c r="N80" s="27" t="s">
        <v>111</v>
      </c>
      <c r="O80" s="27" t="s">
        <v>112</v>
      </c>
      <c r="P80" s="29" t="s">
        <v>113</v>
      </c>
      <c r="Q80" s="27" t="s">
        <v>121</v>
      </c>
    </row>
    <row r="81" spans="1:17" x14ac:dyDescent="0.25">
      <c r="A81" s="30" t="s">
        <v>594</v>
      </c>
      <c r="B81" s="27" t="s">
        <v>42</v>
      </c>
      <c r="C81" s="27" t="s">
        <v>572</v>
      </c>
      <c r="D81" s="27" t="s">
        <v>133</v>
      </c>
      <c r="E81" s="28" t="s">
        <v>141</v>
      </c>
      <c r="F81" s="33" t="s">
        <v>134</v>
      </c>
      <c r="G81" s="27" t="s">
        <v>595</v>
      </c>
      <c r="H81" s="27" t="s">
        <v>584</v>
      </c>
      <c r="I81" s="27" t="s">
        <v>596</v>
      </c>
      <c r="J81" s="27" t="s">
        <v>108</v>
      </c>
      <c r="K81" s="27" t="s">
        <v>597</v>
      </c>
      <c r="L81" s="27" t="s">
        <v>598</v>
      </c>
      <c r="M81" s="28" t="s">
        <v>14</v>
      </c>
      <c r="N81" s="27" t="s">
        <v>111</v>
      </c>
      <c r="O81" s="27" t="s">
        <v>112</v>
      </c>
      <c r="P81" s="29" t="s">
        <v>113</v>
      </c>
      <c r="Q81" s="27" t="s">
        <v>121</v>
      </c>
    </row>
    <row r="82" spans="1:17" x14ac:dyDescent="0.25">
      <c r="A82" s="23" t="s">
        <v>599</v>
      </c>
      <c r="B82" s="24" t="s">
        <v>42</v>
      </c>
      <c r="C82" s="24" t="s">
        <v>600</v>
      </c>
      <c r="D82" s="24" t="s">
        <v>133</v>
      </c>
      <c r="E82" s="25" t="s">
        <v>103</v>
      </c>
      <c r="F82" s="26" t="s">
        <v>104</v>
      </c>
      <c r="G82" s="24" t="s">
        <v>601</v>
      </c>
      <c r="H82" s="24" t="s">
        <v>108</v>
      </c>
      <c r="I82" s="24" t="s">
        <v>602</v>
      </c>
      <c r="J82" s="24" t="s">
        <v>108</v>
      </c>
      <c r="K82" s="24" t="s">
        <v>603</v>
      </c>
      <c r="L82" s="27" t="s">
        <v>604</v>
      </c>
      <c r="M82" s="28" t="s">
        <v>14</v>
      </c>
      <c r="N82" s="27" t="s">
        <v>111</v>
      </c>
      <c r="O82" s="27" t="s">
        <v>112</v>
      </c>
      <c r="P82" s="29" t="s">
        <v>113</v>
      </c>
      <c r="Q82" s="27" t="s">
        <v>121</v>
      </c>
    </row>
    <row r="83" spans="1:17" x14ac:dyDescent="0.25">
      <c r="A83" s="30" t="s">
        <v>605</v>
      </c>
      <c r="B83" s="27" t="s">
        <v>42</v>
      </c>
      <c r="C83" s="27" t="s">
        <v>600</v>
      </c>
      <c r="D83" s="27" t="s">
        <v>133</v>
      </c>
      <c r="E83" s="28" t="s">
        <v>103</v>
      </c>
      <c r="F83" s="31" t="s">
        <v>116</v>
      </c>
      <c r="G83" s="27" t="s">
        <v>606</v>
      </c>
      <c r="H83" s="27" t="s">
        <v>607</v>
      </c>
      <c r="I83" s="27" t="s">
        <v>608</v>
      </c>
      <c r="J83" s="27" t="s">
        <v>108</v>
      </c>
      <c r="K83" s="27" t="s">
        <v>609</v>
      </c>
      <c r="L83" s="27" t="s">
        <v>610</v>
      </c>
      <c r="M83" s="28" t="s">
        <v>14</v>
      </c>
      <c r="N83" s="27" t="s">
        <v>111</v>
      </c>
      <c r="O83" s="27" t="s">
        <v>112</v>
      </c>
      <c r="P83" s="29" t="s">
        <v>113</v>
      </c>
      <c r="Q83" s="27" t="s">
        <v>121</v>
      </c>
    </row>
    <row r="84" spans="1:17" x14ac:dyDescent="0.25">
      <c r="A84" s="23" t="s">
        <v>611</v>
      </c>
      <c r="B84" s="24" t="s">
        <v>42</v>
      </c>
      <c r="C84" s="24" t="s">
        <v>600</v>
      </c>
      <c r="D84" s="24" t="s">
        <v>133</v>
      </c>
      <c r="E84" s="25" t="s">
        <v>141</v>
      </c>
      <c r="F84" s="34" t="s">
        <v>116</v>
      </c>
      <c r="G84" s="24" t="s">
        <v>612</v>
      </c>
      <c r="H84" s="24" t="s">
        <v>108</v>
      </c>
      <c r="I84" s="24" t="s">
        <v>613</v>
      </c>
      <c r="J84" s="24" t="s">
        <v>108</v>
      </c>
      <c r="K84" s="24" t="s">
        <v>614</v>
      </c>
      <c r="L84" s="27" t="s">
        <v>615</v>
      </c>
      <c r="M84" s="28" t="s">
        <v>14</v>
      </c>
      <c r="N84" s="27" t="s">
        <v>111</v>
      </c>
      <c r="O84" s="27" t="s">
        <v>112</v>
      </c>
      <c r="P84" s="29" t="s">
        <v>113</v>
      </c>
      <c r="Q84" s="27" t="s">
        <v>121</v>
      </c>
    </row>
    <row r="85" spans="1:17" x14ac:dyDescent="0.25">
      <c r="A85" s="30" t="s">
        <v>616</v>
      </c>
      <c r="B85" s="27" t="s">
        <v>42</v>
      </c>
      <c r="C85" s="27" t="s">
        <v>617</v>
      </c>
      <c r="D85" s="27" t="s">
        <v>133</v>
      </c>
      <c r="E85" s="28" t="s">
        <v>141</v>
      </c>
      <c r="F85" s="33" t="s">
        <v>134</v>
      </c>
      <c r="G85" s="27" t="s">
        <v>618</v>
      </c>
      <c r="H85" s="27" t="s">
        <v>108</v>
      </c>
      <c r="I85" s="27" t="s">
        <v>619</v>
      </c>
      <c r="J85" s="27" t="s">
        <v>108</v>
      </c>
      <c r="K85" s="27" t="s">
        <v>620</v>
      </c>
      <c r="L85" s="27" t="s">
        <v>621</v>
      </c>
      <c r="M85" s="28" t="s">
        <v>14</v>
      </c>
      <c r="N85" s="27" t="s">
        <v>111</v>
      </c>
      <c r="O85" s="27" t="s">
        <v>112</v>
      </c>
      <c r="P85" s="29" t="s">
        <v>113</v>
      </c>
      <c r="Q85" s="27" t="s">
        <v>121</v>
      </c>
    </row>
    <row r="86" spans="1:17" x14ac:dyDescent="0.25">
      <c r="A86" s="23" t="s">
        <v>622</v>
      </c>
      <c r="B86" s="24" t="s">
        <v>43</v>
      </c>
      <c r="C86" s="24" t="s">
        <v>623</v>
      </c>
      <c r="D86" s="24" t="s">
        <v>133</v>
      </c>
      <c r="E86" s="25" t="s">
        <v>103</v>
      </c>
      <c r="F86" s="26" t="s">
        <v>104</v>
      </c>
      <c r="G86" s="24" t="s">
        <v>624</v>
      </c>
      <c r="H86" s="24" t="s">
        <v>625</v>
      </c>
      <c r="I86" s="24" t="s">
        <v>626</v>
      </c>
      <c r="J86" s="24" t="s">
        <v>108</v>
      </c>
      <c r="K86" s="24" t="s">
        <v>627</v>
      </c>
      <c r="L86" s="27" t="s">
        <v>628</v>
      </c>
      <c r="M86" s="28" t="s">
        <v>14</v>
      </c>
      <c r="N86" s="27" t="s">
        <v>111</v>
      </c>
      <c r="O86" s="27" t="s">
        <v>112</v>
      </c>
      <c r="P86" s="29" t="s">
        <v>113</v>
      </c>
      <c r="Q86" s="27" t="s">
        <v>121</v>
      </c>
    </row>
    <row r="87" spans="1:17" x14ac:dyDescent="0.25">
      <c r="A87" s="30" t="s">
        <v>629</v>
      </c>
      <c r="B87" s="27" t="s">
        <v>43</v>
      </c>
      <c r="C87" s="27" t="s">
        <v>623</v>
      </c>
      <c r="D87" s="27" t="s">
        <v>234</v>
      </c>
      <c r="E87" s="28" t="s">
        <v>103</v>
      </c>
      <c r="F87" s="35" t="s">
        <v>194</v>
      </c>
      <c r="G87" s="27" t="s">
        <v>630</v>
      </c>
      <c r="H87" s="27" t="s">
        <v>631</v>
      </c>
      <c r="I87" s="27" t="s">
        <v>632</v>
      </c>
      <c r="J87" s="27" t="s">
        <v>108</v>
      </c>
      <c r="K87" s="27" t="s">
        <v>633</v>
      </c>
      <c r="L87" s="27" t="s">
        <v>634</v>
      </c>
      <c r="M87" s="28" t="s">
        <v>14</v>
      </c>
      <c r="N87" s="27" t="s">
        <v>111</v>
      </c>
      <c r="O87" s="27" t="s">
        <v>112</v>
      </c>
      <c r="P87" s="29" t="s">
        <v>113</v>
      </c>
      <c r="Q87" s="27" t="s">
        <v>121</v>
      </c>
    </row>
    <row r="88" spans="1:17" x14ac:dyDescent="0.25">
      <c r="A88" s="23" t="s">
        <v>635</v>
      </c>
      <c r="B88" s="24" t="s">
        <v>43</v>
      </c>
      <c r="C88" s="24" t="s">
        <v>623</v>
      </c>
      <c r="D88" s="24" t="s">
        <v>636</v>
      </c>
      <c r="E88" s="25" t="s">
        <v>103</v>
      </c>
      <c r="F88" s="26" t="s">
        <v>104</v>
      </c>
      <c r="G88" s="24" t="s">
        <v>637</v>
      </c>
      <c r="H88" s="24" t="s">
        <v>638</v>
      </c>
      <c r="I88" s="24" t="s">
        <v>639</v>
      </c>
      <c r="J88" s="24" t="s">
        <v>108</v>
      </c>
      <c r="K88" s="24" t="s">
        <v>640</v>
      </c>
      <c r="L88" s="27" t="s">
        <v>641</v>
      </c>
      <c r="M88" s="28" t="s">
        <v>14</v>
      </c>
      <c r="N88" s="27" t="s">
        <v>111</v>
      </c>
      <c r="O88" s="27" t="s">
        <v>112</v>
      </c>
      <c r="P88" s="29" t="s">
        <v>113</v>
      </c>
      <c r="Q88" s="27" t="s">
        <v>121</v>
      </c>
    </row>
    <row r="89" spans="1:17" x14ac:dyDescent="0.25">
      <c r="A89" s="30" t="s">
        <v>642</v>
      </c>
      <c r="B89" s="27" t="s">
        <v>43</v>
      </c>
      <c r="C89" s="27" t="s">
        <v>623</v>
      </c>
      <c r="D89" s="27" t="s">
        <v>133</v>
      </c>
      <c r="E89" s="28" t="s">
        <v>103</v>
      </c>
      <c r="F89" s="36" t="s">
        <v>104</v>
      </c>
      <c r="G89" s="27" t="s">
        <v>643</v>
      </c>
      <c r="H89" s="27" t="s">
        <v>644</v>
      </c>
      <c r="I89" s="27" t="s">
        <v>645</v>
      </c>
      <c r="J89" s="27" t="s">
        <v>108</v>
      </c>
      <c r="K89" s="27" t="s">
        <v>646</v>
      </c>
      <c r="L89" s="27" t="s">
        <v>647</v>
      </c>
      <c r="M89" s="28" t="s">
        <v>14</v>
      </c>
      <c r="N89" s="27" t="s">
        <v>111</v>
      </c>
      <c r="O89" s="27" t="s">
        <v>112</v>
      </c>
      <c r="P89" s="29" t="s">
        <v>113</v>
      </c>
      <c r="Q89" s="27" t="s">
        <v>121</v>
      </c>
    </row>
    <row r="90" spans="1:17" x14ac:dyDescent="0.25">
      <c r="A90" s="23" t="s">
        <v>648</v>
      </c>
      <c r="B90" s="24" t="s">
        <v>43</v>
      </c>
      <c r="C90" s="24" t="s">
        <v>623</v>
      </c>
      <c r="D90" s="24" t="s">
        <v>649</v>
      </c>
      <c r="E90" s="25" t="s">
        <v>103</v>
      </c>
      <c r="F90" s="26" t="s">
        <v>104</v>
      </c>
      <c r="G90" s="24" t="s">
        <v>650</v>
      </c>
      <c r="H90" s="24" t="s">
        <v>651</v>
      </c>
      <c r="I90" s="24" t="s">
        <v>652</v>
      </c>
      <c r="J90" s="24" t="s">
        <v>108</v>
      </c>
      <c r="K90" s="24" t="s">
        <v>653</v>
      </c>
      <c r="L90" s="27" t="s">
        <v>654</v>
      </c>
      <c r="M90" s="28" t="s">
        <v>14</v>
      </c>
      <c r="N90" s="27" t="s">
        <v>111</v>
      </c>
      <c r="O90" s="27" t="s">
        <v>112</v>
      </c>
      <c r="P90" s="29" t="s">
        <v>113</v>
      </c>
      <c r="Q90" s="27" t="s">
        <v>121</v>
      </c>
    </row>
    <row r="91" spans="1:17" x14ac:dyDescent="0.25">
      <c r="A91" s="30" t="s">
        <v>655</v>
      </c>
      <c r="B91" s="27" t="s">
        <v>43</v>
      </c>
      <c r="C91" s="27" t="s">
        <v>623</v>
      </c>
      <c r="D91" s="27" t="s">
        <v>133</v>
      </c>
      <c r="E91" s="28" t="s">
        <v>103</v>
      </c>
      <c r="F91" s="31" t="s">
        <v>116</v>
      </c>
      <c r="G91" s="27" t="s">
        <v>656</v>
      </c>
      <c r="H91" s="27" t="s">
        <v>657</v>
      </c>
      <c r="I91" s="27" t="s">
        <v>658</v>
      </c>
      <c r="J91" s="27" t="s">
        <v>108</v>
      </c>
      <c r="K91" s="27" t="s">
        <v>659</v>
      </c>
      <c r="L91" s="27" t="s">
        <v>660</v>
      </c>
      <c r="M91" s="28" t="s">
        <v>14</v>
      </c>
      <c r="N91" s="27" t="s">
        <v>111</v>
      </c>
      <c r="O91" s="27" t="s">
        <v>112</v>
      </c>
      <c r="P91" s="29" t="s">
        <v>113</v>
      </c>
      <c r="Q91" s="27" t="s">
        <v>121</v>
      </c>
    </row>
    <row r="92" spans="1:17" x14ac:dyDescent="0.25">
      <c r="A92" s="23" t="s">
        <v>661</v>
      </c>
      <c r="B92" s="24" t="s">
        <v>43</v>
      </c>
      <c r="C92" s="24" t="s">
        <v>623</v>
      </c>
      <c r="D92" s="24" t="s">
        <v>133</v>
      </c>
      <c r="E92" s="25" t="s">
        <v>103</v>
      </c>
      <c r="F92" s="26" t="s">
        <v>104</v>
      </c>
      <c r="G92" s="24" t="s">
        <v>662</v>
      </c>
      <c r="H92" s="24" t="s">
        <v>663</v>
      </c>
      <c r="I92" s="24" t="s">
        <v>664</v>
      </c>
      <c r="J92" s="24" t="s">
        <v>108</v>
      </c>
      <c r="K92" s="24" t="s">
        <v>665</v>
      </c>
      <c r="L92" s="27" t="s">
        <v>666</v>
      </c>
      <c r="M92" s="28" t="s">
        <v>14</v>
      </c>
      <c r="N92" s="27" t="s">
        <v>111</v>
      </c>
      <c r="O92" s="27" t="s">
        <v>112</v>
      </c>
      <c r="P92" s="29" t="s">
        <v>113</v>
      </c>
      <c r="Q92" s="27" t="s">
        <v>121</v>
      </c>
    </row>
    <row r="93" spans="1:17" x14ac:dyDescent="0.25">
      <c r="A93" s="30" t="s">
        <v>667</v>
      </c>
      <c r="B93" s="27" t="s">
        <v>43</v>
      </c>
      <c r="C93" s="27" t="s">
        <v>623</v>
      </c>
      <c r="D93" s="27" t="s">
        <v>133</v>
      </c>
      <c r="E93" s="28" t="s">
        <v>103</v>
      </c>
      <c r="F93" s="31" t="s">
        <v>116</v>
      </c>
      <c r="G93" s="27" t="s">
        <v>668</v>
      </c>
      <c r="H93" s="27" t="s">
        <v>669</v>
      </c>
      <c r="I93" s="27" t="s">
        <v>670</v>
      </c>
      <c r="J93" s="27" t="s">
        <v>108</v>
      </c>
      <c r="K93" s="27" t="s">
        <v>671</v>
      </c>
      <c r="L93" s="27" t="s">
        <v>672</v>
      </c>
      <c r="M93" s="28" t="s">
        <v>14</v>
      </c>
      <c r="N93" s="27" t="s">
        <v>111</v>
      </c>
      <c r="O93" s="27" t="s">
        <v>112</v>
      </c>
      <c r="P93" s="29" t="s">
        <v>113</v>
      </c>
      <c r="Q93" s="27" t="s">
        <v>121</v>
      </c>
    </row>
    <row r="94" spans="1:17" x14ac:dyDescent="0.25">
      <c r="A94" s="23" t="s">
        <v>673</v>
      </c>
      <c r="B94" s="24" t="s">
        <v>43</v>
      </c>
      <c r="C94" s="24" t="s">
        <v>623</v>
      </c>
      <c r="D94" s="24" t="s">
        <v>133</v>
      </c>
      <c r="E94" s="25" t="s">
        <v>103</v>
      </c>
      <c r="F94" s="34" t="s">
        <v>116</v>
      </c>
      <c r="G94" s="24" t="s">
        <v>674</v>
      </c>
      <c r="H94" s="24" t="s">
        <v>675</v>
      </c>
      <c r="I94" s="24" t="s">
        <v>676</v>
      </c>
      <c r="J94" s="24" t="s">
        <v>108</v>
      </c>
      <c r="K94" s="24" t="s">
        <v>677</v>
      </c>
      <c r="L94" s="27" t="s">
        <v>678</v>
      </c>
      <c r="M94" s="28" t="s">
        <v>14</v>
      </c>
      <c r="N94" s="27" t="s">
        <v>111</v>
      </c>
      <c r="O94" s="27" t="s">
        <v>112</v>
      </c>
      <c r="P94" s="29" t="s">
        <v>113</v>
      </c>
      <c r="Q94" s="27" t="s">
        <v>121</v>
      </c>
    </row>
    <row r="95" spans="1:17" x14ac:dyDescent="0.25">
      <c r="A95" s="30" t="s">
        <v>679</v>
      </c>
      <c r="B95" s="27" t="s">
        <v>43</v>
      </c>
      <c r="C95" s="27" t="s">
        <v>623</v>
      </c>
      <c r="D95" s="27" t="s">
        <v>133</v>
      </c>
      <c r="E95" s="28" t="s">
        <v>103</v>
      </c>
      <c r="F95" s="31" t="s">
        <v>116</v>
      </c>
      <c r="G95" s="27" t="s">
        <v>680</v>
      </c>
      <c r="H95" s="27" t="s">
        <v>675</v>
      </c>
      <c r="I95" s="27" t="s">
        <v>681</v>
      </c>
      <c r="J95" s="27" t="s">
        <v>108</v>
      </c>
      <c r="K95" s="27" t="s">
        <v>682</v>
      </c>
      <c r="L95" s="27" t="s">
        <v>683</v>
      </c>
      <c r="M95" s="28" t="s">
        <v>14</v>
      </c>
      <c r="N95" s="27" t="s">
        <v>111</v>
      </c>
      <c r="O95" s="27" t="s">
        <v>112</v>
      </c>
      <c r="P95" s="29" t="s">
        <v>113</v>
      </c>
      <c r="Q95" s="27" t="s">
        <v>121</v>
      </c>
    </row>
    <row r="96" spans="1:17" x14ac:dyDescent="0.25">
      <c r="A96" s="23" t="s">
        <v>684</v>
      </c>
      <c r="B96" s="24" t="s">
        <v>43</v>
      </c>
      <c r="C96" s="24" t="s">
        <v>623</v>
      </c>
      <c r="D96" s="24" t="s">
        <v>133</v>
      </c>
      <c r="E96" s="25" t="s">
        <v>103</v>
      </c>
      <c r="F96" s="32" t="s">
        <v>134</v>
      </c>
      <c r="G96" s="24" t="s">
        <v>685</v>
      </c>
      <c r="H96" s="24" t="s">
        <v>686</v>
      </c>
      <c r="I96" s="24" t="s">
        <v>687</v>
      </c>
      <c r="J96" s="24" t="s">
        <v>108</v>
      </c>
      <c r="K96" s="24" t="s">
        <v>688</v>
      </c>
      <c r="L96" s="27" t="s">
        <v>689</v>
      </c>
      <c r="M96" s="28" t="s">
        <v>14</v>
      </c>
      <c r="N96" s="27" t="s">
        <v>111</v>
      </c>
      <c r="O96" s="27" t="s">
        <v>112</v>
      </c>
      <c r="P96" s="29" t="s">
        <v>113</v>
      </c>
      <c r="Q96" s="27" t="s">
        <v>121</v>
      </c>
    </row>
    <row r="97" spans="1:17" x14ac:dyDescent="0.25">
      <c r="A97" s="30" t="s">
        <v>690</v>
      </c>
      <c r="B97" s="27" t="s">
        <v>43</v>
      </c>
      <c r="C97" s="27" t="s">
        <v>623</v>
      </c>
      <c r="D97" s="27" t="s">
        <v>133</v>
      </c>
      <c r="E97" s="28" t="s">
        <v>141</v>
      </c>
      <c r="F97" s="33" t="s">
        <v>134</v>
      </c>
      <c r="G97" s="27" t="s">
        <v>691</v>
      </c>
      <c r="H97" s="27" t="s">
        <v>692</v>
      </c>
      <c r="I97" s="27" t="s">
        <v>693</v>
      </c>
      <c r="J97" s="27" t="s">
        <v>108</v>
      </c>
      <c r="K97" s="27" t="s">
        <v>694</v>
      </c>
      <c r="L97" s="27" t="s">
        <v>695</v>
      </c>
      <c r="M97" s="28" t="s">
        <v>14</v>
      </c>
      <c r="N97" s="27" t="s">
        <v>111</v>
      </c>
      <c r="O97" s="27" t="s">
        <v>112</v>
      </c>
      <c r="P97" s="29" t="s">
        <v>113</v>
      </c>
      <c r="Q97" s="27" t="s">
        <v>121</v>
      </c>
    </row>
    <row r="98" spans="1:17" x14ac:dyDescent="0.25">
      <c r="A98" s="23" t="s">
        <v>696</v>
      </c>
      <c r="B98" s="24" t="s">
        <v>43</v>
      </c>
      <c r="C98" s="24" t="s">
        <v>623</v>
      </c>
      <c r="D98" s="24" t="s">
        <v>133</v>
      </c>
      <c r="E98" s="25" t="s">
        <v>141</v>
      </c>
      <c r="F98" s="32" t="s">
        <v>134</v>
      </c>
      <c r="G98" s="24" t="s">
        <v>697</v>
      </c>
      <c r="H98" s="24" t="s">
        <v>698</v>
      </c>
      <c r="I98" s="24" t="s">
        <v>699</v>
      </c>
      <c r="J98" s="24" t="s">
        <v>108</v>
      </c>
      <c r="K98" s="24" t="s">
        <v>700</v>
      </c>
      <c r="L98" s="27" t="s">
        <v>701</v>
      </c>
      <c r="M98" s="28" t="s">
        <v>14</v>
      </c>
      <c r="N98" s="27" t="s">
        <v>111</v>
      </c>
      <c r="O98" s="27" t="s">
        <v>112</v>
      </c>
      <c r="P98" s="29" t="s">
        <v>113</v>
      </c>
      <c r="Q98" s="27" t="s">
        <v>121</v>
      </c>
    </row>
    <row r="99" spans="1:17" x14ac:dyDescent="0.25">
      <c r="A99" s="30" t="s">
        <v>702</v>
      </c>
      <c r="B99" s="27" t="s">
        <v>44</v>
      </c>
      <c r="C99" s="27" t="s">
        <v>703</v>
      </c>
      <c r="D99" s="27" t="s">
        <v>193</v>
      </c>
      <c r="E99" s="28" t="s">
        <v>103</v>
      </c>
      <c r="F99" s="36" t="s">
        <v>104</v>
      </c>
      <c r="G99" s="27" t="s">
        <v>704</v>
      </c>
      <c r="H99" s="27" t="s">
        <v>539</v>
      </c>
      <c r="I99" s="27" t="s">
        <v>705</v>
      </c>
      <c r="J99" s="27" t="s">
        <v>108</v>
      </c>
      <c r="K99" s="27" t="s">
        <v>706</v>
      </c>
      <c r="L99" s="27" t="s">
        <v>707</v>
      </c>
      <c r="M99" s="28" t="s">
        <v>14</v>
      </c>
      <c r="N99" s="27" t="s">
        <v>111</v>
      </c>
      <c r="O99" s="27" t="s">
        <v>112</v>
      </c>
      <c r="P99" s="29" t="s">
        <v>113</v>
      </c>
      <c r="Q99" s="27" t="s">
        <v>121</v>
      </c>
    </row>
    <row r="100" spans="1:17" x14ac:dyDescent="0.25">
      <c r="A100" s="23" t="s">
        <v>708</v>
      </c>
      <c r="B100" s="24" t="s">
        <v>44</v>
      </c>
      <c r="C100" s="24" t="s">
        <v>703</v>
      </c>
      <c r="D100" s="24" t="s">
        <v>544</v>
      </c>
      <c r="E100" s="25" t="s">
        <v>103</v>
      </c>
      <c r="F100" s="26" t="s">
        <v>104</v>
      </c>
      <c r="G100" s="24" t="s">
        <v>709</v>
      </c>
      <c r="H100" s="24" t="s">
        <v>710</v>
      </c>
      <c r="I100" s="24" t="s">
        <v>711</v>
      </c>
      <c r="J100" s="24" t="s">
        <v>108</v>
      </c>
      <c r="K100" s="24" t="s">
        <v>712</v>
      </c>
      <c r="L100" s="27" t="s">
        <v>713</v>
      </c>
      <c r="M100" s="28" t="s">
        <v>14</v>
      </c>
      <c r="N100" s="27" t="s">
        <v>111</v>
      </c>
      <c r="O100" s="27" t="s">
        <v>112</v>
      </c>
      <c r="P100" s="29" t="s">
        <v>113</v>
      </c>
      <c r="Q100" s="27" t="s">
        <v>121</v>
      </c>
    </row>
    <row r="101" spans="1:17" x14ac:dyDescent="0.25">
      <c r="A101" s="30" t="s">
        <v>714</v>
      </c>
      <c r="B101" s="27" t="s">
        <v>44</v>
      </c>
      <c r="C101" s="27" t="s">
        <v>715</v>
      </c>
      <c r="D101" s="27" t="s">
        <v>133</v>
      </c>
      <c r="E101" s="28" t="s">
        <v>103</v>
      </c>
      <c r="F101" s="31" t="s">
        <v>116</v>
      </c>
      <c r="G101" s="27" t="s">
        <v>716</v>
      </c>
      <c r="H101" s="27" t="s">
        <v>717</v>
      </c>
      <c r="I101" s="27" t="s">
        <v>718</v>
      </c>
      <c r="J101" s="27" t="s">
        <v>108</v>
      </c>
      <c r="K101" s="27" t="s">
        <v>719</v>
      </c>
      <c r="L101" s="27" t="s">
        <v>720</v>
      </c>
      <c r="M101" s="28" t="s">
        <v>14</v>
      </c>
      <c r="N101" s="27" t="s">
        <v>111</v>
      </c>
      <c r="O101" s="27" t="s">
        <v>112</v>
      </c>
      <c r="P101" s="29" t="s">
        <v>113</v>
      </c>
      <c r="Q101" s="27" t="s">
        <v>121</v>
      </c>
    </row>
    <row r="102" spans="1:17" x14ac:dyDescent="0.25">
      <c r="A102" s="23" t="s">
        <v>721</v>
      </c>
      <c r="B102" s="24" t="s">
        <v>44</v>
      </c>
      <c r="C102" s="24" t="s">
        <v>722</v>
      </c>
      <c r="D102" s="24" t="s">
        <v>234</v>
      </c>
      <c r="E102" s="25" t="s">
        <v>103</v>
      </c>
      <c r="F102" s="34" t="s">
        <v>116</v>
      </c>
      <c r="G102" s="24" t="s">
        <v>723</v>
      </c>
      <c r="H102" s="24" t="s">
        <v>724</v>
      </c>
      <c r="I102" s="24" t="s">
        <v>725</v>
      </c>
      <c r="J102" s="24" t="s">
        <v>108</v>
      </c>
      <c r="K102" s="24" t="s">
        <v>726</v>
      </c>
      <c r="L102" s="27" t="s">
        <v>727</v>
      </c>
      <c r="M102" s="28" t="s">
        <v>14</v>
      </c>
      <c r="N102" s="27" t="s">
        <v>111</v>
      </c>
      <c r="O102" s="27" t="s">
        <v>112</v>
      </c>
      <c r="P102" s="29" t="s">
        <v>113</v>
      </c>
      <c r="Q102" s="27" t="s">
        <v>121</v>
      </c>
    </row>
    <row r="103" spans="1:17" x14ac:dyDescent="0.25">
      <c r="A103" s="30" t="s">
        <v>728</v>
      </c>
      <c r="B103" s="27" t="s">
        <v>44</v>
      </c>
      <c r="C103" s="27" t="s">
        <v>722</v>
      </c>
      <c r="D103" s="27" t="s">
        <v>729</v>
      </c>
      <c r="E103" s="28" t="s">
        <v>103</v>
      </c>
      <c r="F103" s="31" t="s">
        <v>116</v>
      </c>
      <c r="G103" s="27" t="s">
        <v>730</v>
      </c>
      <c r="H103" s="27" t="s">
        <v>731</v>
      </c>
      <c r="I103" s="27" t="s">
        <v>732</v>
      </c>
      <c r="J103" s="27" t="s">
        <v>108</v>
      </c>
      <c r="K103" s="27" t="s">
        <v>733</v>
      </c>
      <c r="L103" s="27" t="s">
        <v>734</v>
      </c>
      <c r="M103" s="28" t="s">
        <v>14</v>
      </c>
      <c r="N103" s="27" t="s">
        <v>111</v>
      </c>
      <c r="O103" s="27" t="s">
        <v>112</v>
      </c>
      <c r="P103" s="29" t="s">
        <v>113</v>
      </c>
      <c r="Q103" s="27" t="s">
        <v>121</v>
      </c>
    </row>
    <row r="104" spans="1:17" x14ac:dyDescent="0.25">
      <c r="A104" s="23" t="s">
        <v>735</v>
      </c>
      <c r="B104" s="24" t="s">
        <v>44</v>
      </c>
      <c r="C104" s="24" t="s">
        <v>722</v>
      </c>
      <c r="D104" s="24" t="s">
        <v>133</v>
      </c>
      <c r="E104" s="25" t="s">
        <v>103</v>
      </c>
      <c r="F104" s="34" t="s">
        <v>116</v>
      </c>
      <c r="G104" s="24" t="s">
        <v>736</v>
      </c>
      <c r="H104" s="24" t="s">
        <v>737</v>
      </c>
      <c r="I104" s="24" t="s">
        <v>738</v>
      </c>
      <c r="J104" s="24" t="s">
        <v>108</v>
      </c>
      <c r="K104" s="24" t="s">
        <v>739</v>
      </c>
      <c r="L104" s="27" t="s">
        <v>740</v>
      </c>
      <c r="M104" s="28" t="s">
        <v>14</v>
      </c>
      <c r="N104" s="27" t="s">
        <v>111</v>
      </c>
      <c r="O104" s="27" t="s">
        <v>112</v>
      </c>
      <c r="P104" s="29" t="s">
        <v>113</v>
      </c>
      <c r="Q104" s="27" t="s">
        <v>121</v>
      </c>
    </row>
    <row r="105" spans="1:17" x14ac:dyDescent="0.25">
      <c r="A105" s="30" t="s">
        <v>741</v>
      </c>
      <c r="B105" s="27" t="s">
        <v>44</v>
      </c>
      <c r="C105" s="27" t="s">
        <v>742</v>
      </c>
      <c r="D105" s="27" t="s">
        <v>133</v>
      </c>
      <c r="E105" s="28" t="s">
        <v>103</v>
      </c>
      <c r="F105" s="33" t="s">
        <v>134</v>
      </c>
      <c r="G105" s="27" t="s">
        <v>743</v>
      </c>
      <c r="H105" s="27" t="s">
        <v>744</v>
      </c>
      <c r="I105" s="27" t="s">
        <v>745</v>
      </c>
      <c r="J105" s="27" t="s">
        <v>108</v>
      </c>
      <c r="K105" s="27" t="s">
        <v>746</v>
      </c>
      <c r="L105" s="27" t="s">
        <v>747</v>
      </c>
      <c r="M105" s="28" t="s">
        <v>14</v>
      </c>
      <c r="N105" s="27" t="s">
        <v>111</v>
      </c>
      <c r="O105" s="27" t="s">
        <v>112</v>
      </c>
      <c r="P105" s="29" t="s">
        <v>113</v>
      </c>
      <c r="Q105" s="27" t="s">
        <v>121</v>
      </c>
    </row>
    <row r="106" spans="1:17" x14ac:dyDescent="0.25">
      <c r="A106" s="23" t="s">
        <v>748</v>
      </c>
      <c r="B106" s="24" t="s">
        <v>44</v>
      </c>
      <c r="C106" s="24" t="s">
        <v>749</v>
      </c>
      <c r="D106" s="24" t="s">
        <v>750</v>
      </c>
      <c r="E106" s="25" t="s">
        <v>103</v>
      </c>
      <c r="F106" s="34" t="s">
        <v>116</v>
      </c>
      <c r="G106" s="24" t="s">
        <v>751</v>
      </c>
      <c r="H106" s="24" t="s">
        <v>752</v>
      </c>
      <c r="I106" s="24" t="s">
        <v>753</v>
      </c>
      <c r="J106" s="24" t="s">
        <v>108</v>
      </c>
      <c r="K106" s="24" t="s">
        <v>754</v>
      </c>
      <c r="L106" s="27" t="s">
        <v>755</v>
      </c>
      <c r="M106" s="28" t="s">
        <v>14</v>
      </c>
      <c r="N106" s="27" t="s">
        <v>111</v>
      </c>
      <c r="O106" s="27" t="s">
        <v>112</v>
      </c>
      <c r="P106" s="29" t="s">
        <v>113</v>
      </c>
      <c r="Q106" s="27" t="s">
        <v>121</v>
      </c>
    </row>
    <row r="107" spans="1:17" x14ac:dyDescent="0.25">
      <c r="A107" s="30" t="s">
        <v>756</v>
      </c>
      <c r="B107" s="27" t="s">
        <v>44</v>
      </c>
      <c r="C107" s="27" t="s">
        <v>757</v>
      </c>
      <c r="D107" s="27" t="s">
        <v>133</v>
      </c>
      <c r="E107" s="28" t="s">
        <v>103</v>
      </c>
      <c r="F107" s="31" t="s">
        <v>116</v>
      </c>
      <c r="G107" s="27" t="s">
        <v>758</v>
      </c>
      <c r="H107" s="27" t="s">
        <v>759</v>
      </c>
      <c r="I107" s="27" t="s">
        <v>760</v>
      </c>
      <c r="J107" s="27" t="s">
        <v>108</v>
      </c>
      <c r="K107" s="27" t="s">
        <v>761</v>
      </c>
      <c r="L107" s="27" t="s">
        <v>762</v>
      </c>
      <c r="M107" s="28" t="s">
        <v>14</v>
      </c>
      <c r="N107" s="27" t="s">
        <v>111</v>
      </c>
      <c r="O107" s="27" t="s">
        <v>112</v>
      </c>
      <c r="P107" s="29" t="s">
        <v>113</v>
      </c>
      <c r="Q107" s="27" t="s">
        <v>763</v>
      </c>
    </row>
    <row r="108" spans="1:17" x14ac:dyDescent="0.25">
      <c r="A108" s="23" t="s">
        <v>764</v>
      </c>
      <c r="B108" s="24" t="s">
        <v>44</v>
      </c>
      <c r="C108" s="24" t="s">
        <v>765</v>
      </c>
      <c r="D108" s="24" t="s">
        <v>234</v>
      </c>
      <c r="E108" s="25" t="s">
        <v>141</v>
      </c>
      <c r="F108" s="32" t="s">
        <v>134</v>
      </c>
      <c r="G108" s="24" t="s">
        <v>766</v>
      </c>
      <c r="H108" s="24" t="s">
        <v>767</v>
      </c>
      <c r="I108" s="24" t="s">
        <v>711</v>
      </c>
      <c r="J108" s="24" t="s">
        <v>108</v>
      </c>
      <c r="K108" s="24" t="s">
        <v>768</v>
      </c>
      <c r="L108" s="27" t="s">
        <v>769</v>
      </c>
      <c r="M108" s="28" t="s">
        <v>14</v>
      </c>
      <c r="N108" s="27" t="s">
        <v>111</v>
      </c>
      <c r="O108" s="27" t="s">
        <v>112</v>
      </c>
      <c r="P108" s="29" t="s">
        <v>113</v>
      </c>
      <c r="Q108" s="27" t="s">
        <v>121</v>
      </c>
    </row>
    <row r="109" spans="1:17" x14ac:dyDescent="0.25">
      <c r="A109" s="30" t="s">
        <v>770</v>
      </c>
      <c r="B109" s="27" t="s">
        <v>45</v>
      </c>
      <c r="C109" s="27" t="s">
        <v>771</v>
      </c>
      <c r="D109" s="27" t="s">
        <v>193</v>
      </c>
      <c r="E109" s="28" t="s">
        <v>103</v>
      </c>
      <c r="F109" s="36" t="s">
        <v>104</v>
      </c>
      <c r="G109" s="27" t="s">
        <v>772</v>
      </c>
      <c r="H109" s="27" t="s">
        <v>539</v>
      </c>
      <c r="I109" s="27" t="s">
        <v>773</v>
      </c>
      <c r="J109" s="27" t="s">
        <v>108</v>
      </c>
      <c r="K109" s="27" t="s">
        <v>774</v>
      </c>
      <c r="L109" s="27" t="s">
        <v>775</v>
      </c>
      <c r="M109" s="28" t="s">
        <v>14</v>
      </c>
      <c r="N109" s="27" t="s">
        <v>111</v>
      </c>
      <c r="O109" s="27" t="s">
        <v>112</v>
      </c>
      <c r="P109" s="29" t="s">
        <v>113</v>
      </c>
      <c r="Q109" s="27" t="s">
        <v>121</v>
      </c>
    </row>
    <row r="110" spans="1:17" x14ac:dyDescent="0.25">
      <c r="A110" s="23" t="s">
        <v>776</v>
      </c>
      <c r="B110" s="24" t="s">
        <v>45</v>
      </c>
      <c r="C110" s="24" t="s">
        <v>771</v>
      </c>
      <c r="D110" s="24" t="s">
        <v>193</v>
      </c>
      <c r="E110" s="25" t="s">
        <v>103</v>
      </c>
      <c r="F110" s="34" t="s">
        <v>116</v>
      </c>
      <c r="G110" s="24" t="s">
        <v>777</v>
      </c>
      <c r="H110" s="24" t="s">
        <v>778</v>
      </c>
      <c r="I110" s="24" t="s">
        <v>779</v>
      </c>
      <c r="J110" s="24" t="s">
        <v>108</v>
      </c>
      <c r="K110" s="24" t="s">
        <v>780</v>
      </c>
      <c r="L110" s="27" t="s">
        <v>781</v>
      </c>
      <c r="M110" s="28" t="s">
        <v>14</v>
      </c>
      <c r="N110" s="27" t="s">
        <v>111</v>
      </c>
      <c r="O110" s="27" t="s">
        <v>112</v>
      </c>
      <c r="P110" s="29" t="s">
        <v>113</v>
      </c>
      <c r="Q110" s="27" t="s">
        <v>121</v>
      </c>
    </row>
    <row r="111" spans="1:17" x14ac:dyDescent="0.25">
      <c r="A111" s="30" t="s">
        <v>782</v>
      </c>
      <c r="B111" s="27" t="s">
        <v>45</v>
      </c>
      <c r="C111" s="27" t="s">
        <v>783</v>
      </c>
      <c r="D111" s="27" t="s">
        <v>193</v>
      </c>
      <c r="E111" s="28" t="s">
        <v>103</v>
      </c>
      <c r="F111" s="36" t="s">
        <v>104</v>
      </c>
      <c r="G111" s="27" t="s">
        <v>784</v>
      </c>
      <c r="H111" s="27" t="s">
        <v>108</v>
      </c>
      <c r="I111" s="27" t="s">
        <v>785</v>
      </c>
      <c r="J111" s="27" t="s">
        <v>786</v>
      </c>
      <c r="K111" s="27" t="s">
        <v>787</v>
      </c>
      <c r="L111" s="27" t="s">
        <v>788</v>
      </c>
      <c r="M111" s="28" t="s">
        <v>14</v>
      </c>
      <c r="N111" s="27" t="s">
        <v>111</v>
      </c>
      <c r="O111" s="27" t="s">
        <v>112</v>
      </c>
      <c r="P111" s="29" t="s">
        <v>113</v>
      </c>
      <c r="Q111" s="27" t="s">
        <v>121</v>
      </c>
    </row>
    <row r="112" spans="1:17" x14ac:dyDescent="0.25">
      <c r="A112" s="23" t="s">
        <v>789</v>
      </c>
      <c r="B112" s="24" t="s">
        <v>45</v>
      </c>
      <c r="C112" s="24" t="s">
        <v>790</v>
      </c>
      <c r="D112" s="24" t="s">
        <v>193</v>
      </c>
      <c r="E112" s="25" t="s">
        <v>103</v>
      </c>
      <c r="F112" s="34" t="s">
        <v>116</v>
      </c>
      <c r="G112" s="24" t="s">
        <v>791</v>
      </c>
      <c r="H112" s="24" t="s">
        <v>108</v>
      </c>
      <c r="I112" s="24" t="s">
        <v>792</v>
      </c>
      <c r="J112" s="24" t="s">
        <v>108</v>
      </c>
      <c r="K112" s="24" t="s">
        <v>793</v>
      </c>
      <c r="L112" s="27" t="s">
        <v>794</v>
      </c>
      <c r="M112" s="28" t="s">
        <v>14</v>
      </c>
      <c r="N112" s="27" t="s">
        <v>111</v>
      </c>
      <c r="O112" s="27" t="s">
        <v>112</v>
      </c>
      <c r="P112" s="29" t="s">
        <v>113</v>
      </c>
      <c r="Q112" s="27" t="s">
        <v>121</v>
      </c>
    </row>
    <row r="113" spans="1:17" x14ac:dyDescent="0.25">
      <c r="A113" s="30" t="s">
        <v>795</v>
      </c>
      <c r="B113" s="27" t="s">
        <v>45</v>
      </c>
      <c r="C113" s="27" t="s">
        <v>790</v>
      </c>
      <c r="D113" s="27" t="s">
        <v>193</v>
      </c>
      <c r="E113" s="28" t="s">
        <v>103</v>
      </c>
      <c r="F113" s="31" t="s">
        <v>116</v>
      </c>
      <c r="G113" s="27" t="s">
        <v>796</v>
      </c>
      <c r="H113" s="27" t="s">
        <v>108</v>
      </c>
      <c r="I113" s="27" t="s">
        <v>797</v>
      </c>
      <c r="J113" s="27" t="s">
        <v>108</v>
      </c>
      <c r="K113" s="27" t="s">
        <v>798</v>
      </c>
      <c r="L113" s="27" t="s">
        <v>799</v>
      </c>
      <c r="M113" s="28" t="s">
        <v>14</v>
      </c>
      <c r="N113" s="27" t="s">
        <v>111</v>
      </c>
      <c r="O113" s="27" t="s">
        <v>112</v>
      </c>
      <c r="P113" s="29" t="s">
        <v>113</v>
      </c>
      <c r="Q113" s="27" t="s">
        <v>121</v>
      </c>
    </row>
    <row r="114" spans="1:17" x14ac:dyDescent="0.25">
      <c r="A114" s="23" t="s">
        <v>800</v>
      </c>
      <c r="B114" s="24" t="s">
        <v>45</v>
      </c>
      <c r="C114" s="24" t="s">
        <v>790</v>
      </c>
      <c r="D114" s="24" t="s">
        <v>193</v>
      </c>
      <c r="E114" s="25" t="s">
        <v>103</v>
      </c>
      <c r="F114" s="32" t="s">
        <v>134</v>
      </c>
      <c r="G114" s="24" t="s">
        <v>801</v>
      </c>
      <c r="H114" s="24" t="s">
        <v>108</v>
      </c>
      <c r="I114" s="24" t="s">
        <v>802</v>
      </c>
      <c r="J114" s="24" t="s">
        <v>108</v>
      </c>
      <c r="K114" s="24" t="s">
        <v>803</v>
      </c>
      <c r="L114" s="27" t="s">
        <v>804</v>
      </c>
      <c r="M114" s="28" t="s">
        <v>14</v>
      </c>
      <c r="N114" s="27" t="s">
        <v>111</v>
      </c>
      <c r="O114" s="27" t="s">
        <v>112</v>
      </c>
      <c r="P114" s="29" t="s">
        <v>113</v>
      </c>
      <c r="Q114" s="27" t="s">
        <v>121</v>
      </c>
    </row>
    <row r="115" spans="1:17" x14ac:dyDescent="0.25">
      <c r="A115" s="30" t="s">
        <v>805</v>
      </c>
      <c r="B115" s="27" t="s">
        <v>45</v>
      </c>
      <c r="C115" s="27" t="s">
        <v>806</v>
      </c>
      <c r="D115" s="27" t="s">
        <v>193</v>
      </c>
      <c r="E115" s="28" t="s">
        <v>103</v>
      </c>
      <c r="F115" s="35" t="s">
        <v>194</v>
      </c>
      <c r="G115" s="27" t="s">
        <v>807</v>
      </c>
      <c r="H115" s="27" t="s">
        <v>108</v>
      </c>
      <c r="I115" s="27" t="s">
        <v>808</v>
      </c>
      <c r="J115" s="27" t="s">
        <v>809</v>
      </c>
      <c r="K115" s="27" t="s">
        <v>810</v>
      </c>
      <c r="L115" s="27" t="s">
        <v>811</v>
      </c>
      <c r="M115" s="28" t="s">
        <v>14</v>
      </c>
      <c r="N115" s="27" t="s">
        <v>111</v>
      </c>
      <c r="O115" s="27" t="s">
        <v>112</v>
      </c>
      <c r="P115" s="29" t="s">
        <v>113</v>
      </c>
      <c r="Q115" s="27" t="s">
        <v>121</v>
      </c>
    </row>
    <row r="116" spans="1:17" x14ac:dyDescent="0.25">
      <c r="A116" s="23" t="s">
        <v>812</v>
      </c>
      <c r="B116" s="24" t="s">
        <v>45</v>
      </c>
      <c r="C116" s="24" t="s">
        <v>806</v>
      </c>
      <c r="D116" s="24" t="s">
        <v>193</v>
      </c>
      <c r="E116" s="25" t="s">
        <v>167</v>
      </c>
      <c r="F116" s="26" t="s">
        <v>104</v>
      </c>
      <c r="G116" s="24" t="s">
        <v>813</v>
      </c>
      <c r="H116" s="24" t="s">
        <v>814</v>
      </c>
      <c r="I116" s="24" t="s">
        <v>815</v>
      </c>
      <c r="J116" s="24" t="s">
        <v>816</v>
      </c>
      <c r="K116" s="24" t="s">
        <v>817</v>
      </c>
      <c r="L116" s="27" t="s">
        <v>818</v>
      </c>
      <c r="M116" s="28" t="s">
        <v>14</v>
      </c>
      <c r="N116" s="27" t="s">
        <v>111</v>
      </c>
      <c r="O116" s="27" t="s">
        <v>112</v>
      </c>
      <c r="P116" s="29" t="s">
        <v>113</v>
      </c>
      <c r="Q116" s="27" t="s">
        <v>819</v>
      </c>
    </row>
    <row r="117" spans="1:17" x14ac:dyDescent="0.25">
      <c r="A117" s="30" t="s">
        <v>820</v>
      </c>
      <c r="B117" s="27" t="s">
        <v>45</v>
      </c>
      <c r="C117" s="27" t="s">
        <v>806</v>
      </c>
      <c r="D117" s="27" t="s">
        <v>193</v>
      </c>
      <c r="E117" s="28" t="s">
        <v>167</v>
      </c>
      <c r="F117" s="36" t="s">
        <v>104</v>
      </c>
      <c r="G117" s="27" t="s">
        <v>821</v>
      </c>
      <c r="H117" s="27" t="s">
        <v>108</v>
      </c>
      <c r="I117" s="27" t="s">
        <v>822</v>
      </c>
      <c r="J117" s="27" t="s">
        <v>108</v>
      </c>
      <c r="K117" s="27" t="s">
        <v>823</v>
      </c>
      <c r="L117" s="27" t="s">
        <v>824</v>
      </c>
      <c r="M117" s="28" t="s">
        <v>14</v>
      </c>
      <c r="N117" s="27" t="s">
        <v>111</v>
      </c>
      <c r="O117" s="27" t="s">
        <v>112</v>
      </c>
      <c r="P117" s="29" t="s">
        <v>113</v>
      </c>
      <c r="Q117" s="27" t="s">
        <v>121</v>
      </c>
    </row>
    <row r="118" spans="1:17" x14ac:dyDescent="0.25">
      <c r="A118" s="23" t="s">
        <v>825</v>
      </c>
      <c r="B118" s="24" t="s">
        <v>45</v>
      </c>
      <c r="C118" s="24" t="s">
        <v>806</v>
      </c>
      <c r="D118" s="24" t="s">
        <v>193</v>
      </c>
      <c r="E118" s="25" t="s">
        <v>167</v>
      </c>
      <c r="F118" s="34" t="s">
        <v>116</v>
      </c>
      <c r="G118" s="24" t="s">
        <v>826</v>
      </c>
      <c r="H118" s="24" t="s">
        <v>108</v>
      </c>
      <c r="I118" s="24" t="s">
        <v>827</v>
      </c>
      <c r="J118" s="24" t="s">
        <v>828</v>
      </c>
      <c r="K118" s="24" t="s">
        <v>829</v>
      </c>
      <c r="L118" s="27" t="s">
        <v>830</v>
      </c>
      <c r="M118" s="28" t="s">
        <v>14</v>
      </c>
      <c r="N118" s="27" t="s">
        <v>111</v>
      </c>
      <c r="O118" s="27" t="s">
        <v>112</v>
      </c>
      <c r="P118" s="29" t="s">
        <v>113</v>
      </c>
      <c r="Q118" s="27" t="s">
        <v>121</v>
      </c>
    </row>
    <row r="119" spans="1:17" x14ac:dyDescent="0.25">
      <c r="A119" s="30" t="s">
        <v>831</v>
      </c>
      <c r="B119" s="27" t="s">
        <v>45</v>
      </c>
      <c r="C119" s="27" t="s">
        <v>806</v>
      </c>
      <c r="D119" s="27" t="s">
        <v>193</v>
      </c>
      <c r="E119" s="28" t="s">
        <v>167</v>
      </c>
      <c r="F119" s="36" t="s">
        <v>104</v>
      </c>
      <c r="G119" s="27" t="s">
        <v>832</v>
      </c>
      <c r="H119" s="27" t="s">
        <v>108</v>
      </c>
      <c r="I119" s="27" t="s">
        <v>833</v>
      </c>
      <c r="J119" s="27" t="s">
        <v>108</v>
      </c>
      <c r="K119" s="27" t="s">
        <v>834</v>
      </c>
      <c r="L119" s="27" t="s">
        <v>835</v>
      </c>
      <c r="M119" s="28" t="s">
        <v>14</v>
      </c>
      <c r="N119" s="27" t="s">
        <v>111</v>
      </c>
      <c r="O119" s="27" t="s">
        <v>112</v>
      </c>
      <c r="P119" s="29" t="s">
        <v>113</v>
      </c>
      <c r="Q119" s="27" t="s">
        <v>121</v>
      </c>
    </row>
    <row r="120" spans="1:17" x14ac:dyDescent="0.25">
      <c r="A120" s="23" t="s">
        <v>836</v>
      </c>
      <c r="B120" s="24" t="s">
        <v>45</v>
      </c>
      <c r="C120" s="24" t="s">
        <v>806</v>
      </c>
      <c r="D120" s="24" t="s">
        <v>193</v>
      </c>
      <c r="E120" s="25" t="s">
        <v>103</v>
      </c>
      <c r="F120" s="34" t="s">
        <v>116</v>
      </c>
      <c r="G120" s="24" t="s">
        <v>837</v>
      </c>
      <c r="H120" s="24" t="s">
        <v>108</v>
      </c>
      <c r="I120" s="24" t="s">
        <v>838</v>
      </c>
      <c r="J120" s="24" t="s">
        <v>839</v>
      </c>
      <c r="K120" s="24" t="s">
        <v>840</v>
      </c>
      <c r="L120" s="27" t="s">
        <v>841</v>
      </c>
      <c r="M120" s="28" t="s">
        <v>14</v>
      </c>
      <c r="N120" s="27" t="s">
        <v>111</v>
      </c>
      <c r="O120" s="27" t="s">
        <v>112</v>
      </c>
      <c r="P120" s="29" t="s">
        <v>113</v>
      </c>
      <c r="Q120" s="27" t="s">
        <v>842</v>
      </c>
    </row>
    <row r="121" spans="1:17" x14ac:dyDescent="0.25">
      <c r="A121" s="30" t="s">
        <v>843</v>
      </c>
      <c r="B121" s="27" t="s">
        <v>45</v>
      </c>
      <c r="C121" s="27" t="s">
        <v>806</v>
      </c>
      <c r="D121" s="27" t="s">
        <v>193</v>
      </c>
      <c r="E121" s="28" t="s">
        <v>167</v>
      </c>
      <c r="F121" s="31" t="s">
        <v>116</v>
      </c>
      <c r="G121" s="27" t="s">
        <v>844</v>
      </c>
      <c r="H121" s="27" t="s">
        <v>108</v>
      </c>
      <c r="I121" s="27" t="s">
        <v>845</v>
      </c>
      <c r="J121" s="27" t="s">
        <v>846</v>
      </c>
      <c r="K121" s="27" t="s">
        <v>847</v>
      </c>
      <c r="L121" s="27" t="s">
        <v>848</v>
      </c>
      <c r="M121" s="28" t="s">
        <v>14</v>
      </c>
      <c r="N121" s="27" t="s">
        <v>111</v>
      </c>
      <c r="O121" s="27" t="s">
        <v>112</v>
      </c>
      <c r="P121" s="29" t="s">
        <v>113</v>
      </c>
      <c r="Q121" s="27" t="s">
        <v>121</v>
      </c>
    </row>
    <row r="122" spans="1:17" x14ac:dyDescent="0.25">
      <c r="A122" s="23" t="s">
        <v>849</v>
      </c>
      <c r="B122" s="24" t="s">
        <v>45</v>
      </c>
      <c r="C122" s="24" t="s">
        <v>806</v>
      </c>
      <c r="D122" s="24" t="s">
        <v>193</v>
      </c>
      <c r="E122" s="25" t="s">
        <v>103</v>
      </c>
      <c r="F122" s="32" t="s">
        <v>134</v>
      </c>
      <c r="G122" s="24" t="s">
        <v>850</v>
      </c>
      <c r="H122" s="24" t="s">
        <v>108</v>
      </c>
      <c r="I122" s="24" t="s">
        <v>851</v>
      </c>
      <c r="J122" s="24" t="s">
        <v>852</v>
      </c>
      <c r="K122" s="24" t="s">
        <v>853</v>
      </c>
      <c r="L122" s="27" t="s">
        <v>854</v>
      </c>
      <c r="M122" s="28" t="s">
        <v>14</v>
      </c>
      <c r="N122" s="27" t="s">
        <v>111</v>
      </c>
      <c r="O122" s="27" t="s">
        <v>112</v>
      </c>
      <c r="P122" s="29" t="s">
        <v>113</v>
      </c>
      <c r="Q122" s="27" t="s">
        <v>121</v>
      </c>
    </row>
    <row r="123" spans="1:17" x14ac:dyDescent="0.25">
      <c r="A123" s="30" t="s">
        <v>855</v>
      </c>
      <c r="B123" s="27" t="s">
        <v>45</v>
      </c>
      <c r="C123" s="27" t="s">
        <v>806</v>
      </c>
      <c r="D123" s="27" t="s">
        <v>193</v>
      </c>
      <c r="E123" s="28" t="s">
        <v>103</v>
      </c>
      <c r="F123" s="31" t="s">
        <v>116</v>
      </c>
      <c r="G123" s="27" t="s">
        <v>856</v>
      </c>
      <c r="H123" s="27" t="s">
        <v>108</v>
      </c>
      <c r="I123" s="27" t="s">
        <v>857</v>
      </c>
      <c r="J123" s="27" t="s">
        <v>108</v>
      </c>
      <c r="K123" s="27" t="s">
        <v>858</v>
      </c>
      <c r="L123" s="27" t="s">
        <v>859</v>
      </c>
      <c r="M123" s="28" t="s">
        <v>14</v>
      </c>
      <c r="N123" s="27" t="s">
        <v>111</v>
      </c>
      <c r="O123" s="27" t="s">
        <v>112</v>
      </c>
      <c r="P123" s="29" t="s">
        <v>113</v>
      </c>
      <c r="Q123" s="27" t="s">
        <v>121</v>
      </c>
    </row>
    <row r="124" spans="1:17" x14ac:dyDescent="0.25">
      <c r="A124" s="23" t="s">
        <v>860</v>
      </c>
      <c r="B124" s="24" t="s">
        <v>45</v>
      </c>
      <c r="C124" s="24" t="s">
        <v>806</v>
      </c>
      <c r="D124" s="24" t="s">
        <v>193</v>
      </c>
      <c r="E124" s="25" t="s">
        <v>103</v>
      </c>
      <c r="F124" s="32" t="s">
        <v>134</v>
      </c>
      <c r="G124" s="24" t="s">
        <v>861</v>
      </c>
      <c r="H124" s="24" t="s">
        <v>108</v>
      </c>
      <c r="I124" s="24" t="s">
        <v>862</v>
      </c>
      <c r="J124" s="24" t="s">
        <v>108</v>
      </c>
      <c r="K124" s="24" t="s">
        <v>863</v>
      </c>
      <c r="L124" s="27" t="s">
        <v>864</v>
      </c>
      <c r="M124" s="28" t="s">
        <v>14</v>
      </c>
      <c r="N124" s="27" t="s">
        <v>111</v>
      </c>
      <c r="O124" s="27" t="s">
        <v>112</v>
      </c>
      <c r="P124" s="29" t="s">
        <v>113</v>
      </c>
      <c r="Q124" s="27" t="s">
        <v>121</v>
      </c>
    </row>
    <row r="125" spans="1:17" x14ac:dyDescent="0.25">
      <c r="A125" s="30" t="s">
        <v>865</v>
      </c>
      <c r="B125" s="27" t="s">
        <v>45</v>
      </c>
      <c r="C125" s="27" t="s">
        <v>866</v>
      </c>
      <c r="D125" s="27" t="s">
        <v>193</v>
      </c>
      <c r="E125" s="28" t="s">
        <v>103</v>
      </c>
      <c r="F125" s="35" t="s">
        <v>194</v>
      </c>
      <c r="G125" s="27" t="s">
        <v>867</v>
      </c>
      <c r="H125" s="27" t="s">
        <v>868</v>
      </c>
      <c r="I125" s="27" t="s">
        <v>869</v>
      </c>
      <c r="J125" s="27" t="s">
        <v>108</v>
      </c>
      <c r="K125" s="27" t="s">
        <v>870</v>
      </c>
      <c r="L125" s="27" t="s">
        <v>871</v>
      </c>
      <c r="M125" s="28" t="s">
        <v>14</v>
      </c>
      <c r="N125" s="27" t="s">
        <v>111</v>
      </c>
      <c r="O125" s="27" t="s">
        <v>112</v>
      </c>
      <c r="P125" s="29" t="s">
        <v>113</v>
      </c>
      <c r="Q125" s="27" t="s">
        <v>121</v>
      </c>
    </row>
    <row r="126" spans="1:17" x14ac:dyDescent="0.25">
      <c r="A126" s="23" t="s">
        <v>872</v>
      </c>
      <c r="B126" s="24" t="s">
        <v>45</v>
      </c>
      <c r="C126" s="24" t="s">
        <v>866</v>
      </c>
      <c r="D126" s="24" t="s">
        <v>193</v>
      </c>
      <c r="E126" s="25" t="s">
        <v>103</v>
      </c>
      <c r="F126" s="34" t="s">
        <v>116</v>
      </c>
      <c r="G126" s="24" t="s">
        <v>873</v>
      </c>
      <c r="H126" s="24" t="s">
        <v>108</v>
      </c>
      <c r="I126" s="24" t="s">
        <v>874</v>
      </c>
      <c r="J126" s="24" t="s">
        <v>108</v>
      </c>
      <c r="K126" s="24" t="s">
        <v>875</v>
      </c>
      <c r="L126" s="27" t="s">
        <v>876</v>
      </c>
      <c r="M126" s="28" t="s">
        <v>14</v>
      </c>
      <c r="N126" s="27" t="s">
        <v>111</v>
      </c>
      <c r="O126" s="27" t="s">
        <v>112</v>
      </c>
      <c r="P126" s="29" t="s">
        <v>113</v>
      </c>
      <c r="Q126" s="27" t="s">
        <v>121</v>
      </c>
    </row>
    <row r="127" spans="1:17" x14ac:dyDescent="0.25">
      <c r="A127" s="30" t="s">
        <v>877</v>
      </c>
      <c r="B127" s="27" t="s">
        <v>45</v>
      </c>
      <c r="C127" s="27" t="s">
        <v>866</v>
      </c>
      <c r="D127" s="27" t="s">
        <v>193</v>
      </c>
      <c r="E127" s="28" t="s">
        <v>103</v>
      </c>
      <c r="F127" s="36" t="s">
        <v>104</v>
      </c>
      <c r="G127" s="27" t="s">
        <v>878</v>
      </c>
      <c r="H127" s="27" t="s">
        <v>108</v>
      </c>
      <c r="I127" s="27" t="s">
        <v>879</v>
      </c>
      <c r="J127" s="27" t="s">
        <v>880</v>
      </c>
      <c r="K127" s="27" t="s">
        <v>881</v>
      </c>
      <c r="L127" s="27" t="s">
        <v>882</v>
      </c>
      <c r="M127" s="28" t="s">
        <v>14</v>
      </c>
      <c r="N127" s="27" t="s">
        <v>111</v>
      </c>
      <c r="O127" s="27" t="s">
        <v>112</v>
      </c>
      <c r="P127" s="29" t="s">
        <v>113</v>
      </c>
      <c r="Q127" s="27" t="s">
        <v>121</v>
      </c>
    </row>
    <row r="128" spans="1:17" x14ac:dyDescent="0.25">
      <c r="A128" s="23" t="s">
        <v>883</v>
      </c>
      <c r="B128" s="24" t="s">
        <v>45</v>
      </c>
      <c r="C128" s="24" t="s">
        <v>866</v>
      </c>
      <c r="D128" s="24" t="s">
        <v>193</v>
      </c>
      <c r="E128" s="25" t="s">
        <v>167</v>
      </c>
      <c r="F128" s="26" t="s">
        <v>104</v>
      </c>
      <c r="G128" s="24" t="s">
        <v>884</v>
      </c>
      <c r="H128" s="24" t="s">
        <v>108</v>
      </c>
      <c r="I128" s="24" t="s">
        <v>885</v>
      </c>
      <c r="J128" s="24" t="s">
        <v>108</v>
      </c>
      <c r="K128" s="24" t="s">
        <v>886</v>
      </c>
      <c r="L128" s="27" t="s">
        <v>887</v>
      </c>
      <c r="M128" s="28" t="s">
        <v>14</v>
      </c>
      <c r="N128" s="27" t="s">
        <v>111</v>
      </c>
      <c r="O128" s="27" t="s">
        <v>112</v>
      </c>
      <c r="P128" s="29" t="s">
        <v>113</v>
      </c>
      <c r="Q128" s="27" t="s">
        <v>121</v>
      </c>
    </row>
    <row r="129" spans="1:17" x14ac:dyDescent="0.25">
      <c r="A129" s="30" t="s">
        <v>888</v>
      </c>
      <c r="B129" s="27" t="s">
        <v>45</v>
      </c>
      <c r="C129" s="27" t="s">
        <v>866</v>
      </c>
      <c r="D129" s="27" t="s">
        <v>193</v>
      </c>
      <c r="E129" s="28" t="s">
        <v>103</v>
      </c>
      <c r="F129" s="36" t="s">
        <v>104</v>
      </c>
      <c r="G129" s="27" t="s">
        <v>889</v>
      </c>
      <c r="H129" s="27" t="s">
        <v>472</v>
      </c>
      <c r="I129" s="27" t="s">
        <v>890</v>
      </c>
      <c r="J129" s="27" t="s">
        <v>108</v>
      </c>
      <c r="K129" s="27" t="s">
        <v>891</v>
      </c>
      <c r="L129" s="27" t="s">
        <v>892</v>
      </c>
      <c r="M129" s="28" t="s">
        <v>14</v>
      </c>
      <c r="N129" s="27" t="s">
        <v>111</v>
      </c>
      <c r="O129" s="27" t="s">
        <v>112</v>
      </c>
      <c r="P129" s="29" t="s">
        <v>113</v>
      </c>
      <c r="Q129" s="27" t="s">
        <v>121</v>
      </c>
    </row>
    <row r="130" spans="1:17" x14ac:dyDescent="0.25">
      <c r="A130" s="23" t="s">
        <v>893</v>
      </c>
      <c r="B130" s="24" t="s">
        <v>45</v>
      </c>
      <c r="C130" s="24" t="s">
        <v>866</v>
      </c>
      <c r="D130" s="24" t="s">
        <v>193</v>
      </c>
      <c r="E130" s="25" t="s">
        <v>103</v>
      </c>
      <c r="F130" s="32" t="s">
        <v>134</v>
      </c>
      <c r="G130" s="24" t="s">
        <v>894</v>
      </c>
      <c r="H130" s="24" t="s">
        <v>895</v>
      </c>
      <c r="I130" s="24" t="s">
        <v>896</v>
      </c>
      <c r="J130" s="24" t="s">
        <v>108</v>
      </c>
      <c r="K130" s="24" t="s">
        <v>897</v>
      </c>
      <c r="L130" s="27" t="s">
        <v>898</v>
      </c>
      <c r="M130" s="28" t="s">
        <v>14</v>
      </c>
      <c r="N130" s="27" t="s">
        <v>111</v>
      </c>
      <c r="O130" s="27" t="s">
        <v>112</v>
      </c>
      <c r="P130" s="29" t="s">
        <v>113</v>
      </c>
      <c r="Q130" s="27" t="s">
        <v>121</v>
      </c>
    </row>
    <row r="131" spans="1:17" x14ac:dyDescent="0.25">
      <c r="A131" s="30" t="s">
        <v>899</v>
      </c>
      <c r="B131" s="27" t="s">
        <v>45</v>
      </c>
      <c r="C131" s="27" t="s">
        <v>95</v>
      </c>
      <c r="D131" s="27" t="s">
        <v>193</v>
      </c>
      <c r="E131" s="28" t="s">
        <v>103</v>
      </c>
      <c r="F131" s="35" t="s">
        <v>194</v>
      </c>
      <c r="G131" s="27" t="s">
        <v>900</v>
      </c>
      <c r="H131" s="27" t="s">
        <v>901</v>
      </c>
      <c r="I131" s="27" t="s">
        <v>902</v>
      </c>
      <c r="J131" s="27" t="s">
        <v>108</v>
      </c>
      <c r="K131" s="27" t="s">
        <v>903</v>
      </c>
      <c r="L131" s="27" t="s">
        <v>904</v>
      </c>
      <c r="M131" s="28" t="s">
        <v>14</v>
      </c>
      <c r="N131" s="27" t="s">
        <v>111</v>
      </c>
      <c r="O131" s="27" t="s">
        <v>112</v>
      </c>
      <c r="P131" s="29" t="s">
        <v>113</v>
      </c>
      <c r="Q131" s="27" t="s">
        <v>121</v>
      </c>
    </row>
    <row r="132" spans="1:17" x14ac:dyDescent="0.25">
      <c r="A132" s="23" t="s">
        <v>905</v>
      </c>
      <c r="B132" s="24" t="s">
        <v>45</v>
      </c>
      <c r="C132" s="24" t="s">
        <v>95</v>
      </c>
      <c r="D132" s="24" t="s">
        <v>193</v>
      </c>
      <c r="E132" s="25" t="s">
        <v>103</v>
      </c>
      <c r="F132" s="26" t="s">
        <v>104</v>
      </c>
      <c r="G132" s="24" t="s">
        <v>906</v>
      </c>
      <c r="H132" s="24" t="s">
        <v>907</v>
      </c>
      <c r="I132" s="24" t="s">
        <v>908</v>
      </c>
      <c r="J132" s="24" t="s">
        <v>108</v>
      </c>
      <c r="K132" s="24" t="s">
        <v>909</v>
      </c>
      <c r="L132" s="27" t="s">
        <v>910</v>
      </c>
      <c r="M132" s="28" t="s">
        <v>14</v>
      </c>
      <c r="N132" s="27" t="s">
        <v>111</v>
      </c>
      <c r="O132" s="27" t="s">
        <v>112</v>
      </c>
      <c r="P132" s="29" t="s">
        <v>113</v>
      </c>
      <c r="Q132" s="27" t="s">
        <v>121</v>
      </c>
    </row>
    <row r="133" spans="1:17" x14ac:dyDescent="0.25">
      <c r="A133" s="30" t="s">
        <v>911</v>
      </c>
      <c r="B133" s="27" t="s">
        <v>45</v>
      </c>
      <c r="C133" s="27" t="s">
        <v>95</v>
      </c>
      <c r="D133" s="27" t="s">
        <v>193</v>
      </c>
      <c r="E133" s="28" t="s">
        <v>103</v>
      </c>
      <c r="F133" s="33" t="s">
        <v>134</v>
      </c>
      <c r="G133" s="27" t="s">
        <v>912</v>
      </c>
      <c r="H133" s="27" t="s">
        <v>108</v>
      </c>
      <c r="I133" s="27" t="s">
        <v>913</v>
      </c>
      <c r="J133" s="27" t="s">
        <v>108</v>
      </c>
      <c r="K133" s="27" t="s">
        <v>914</v>
      </c>
      <c r="L133" s="27" t="s">
        <v>915</v>
      </c>
      <c r="M133" s="28" t="s">
        <v>14</v>
      </c>
      <c r="N133" s="27" t="s">
        <v>111</v>
      </c>
      <c r="O133" s="27" t="s">
        <v>112</v>
      </c>
      <c r="P133" s="29" t="s">
        <v>113</v>
      </c>
      <c r="Q133" s="27" t="s">
        <v>121</v>
      </c>
    </row>
    <row r="134" spans="1:17" x14ac:dyDescent="0.25">
      <c r="A134" s="23" t="s">
        <v>916</v>
      </c>
      <c r="B134" s="24" t="s">
        <v>45</v>
      </c>
      <c r="C134" s="24" t="s">
        <v>917</v>
      </c>
      <c r="D134" s="24" t="s">
        <v>193</v>
      </c>
      <c r="E134" s="25" t="s">
        <v>103</v>
      </c>
      <c r="F134" s="37" t="s">
        <v>194</v>
      </c>
      <c r="G134" s="24" t="s">
        <v>918</v>
      </c>
      <c r="H134" s="24" t="s">
        <v>919</v>
      </c>
      <c r="I134" s="24" t="s">
        <v>920</v>
      </c>
      <c r="J134" s="24" t="s">
        <v>108</v>
      </c>
      <c r="K134" s="24" t="s">
        <v>921</v>
      </c>
      <c r="L134" s="27" t="s">
        <v>922</v>
      </c>
      <c r="M134" s="28" t="s">
        <v>14</v>
      </c>
      <c r="N134" s="27" t="s">
        <v>111</v>
      </c>
      <c r="O134" s="27" t="s">
        <v>112</v>
      </c>
      <c r="P134" s="29" t="s">
        <v>113</v>
      </c>
      <c r="Q134" s="27" t="s">
        <v>121</v>
      </c>
    </row>
    <row r="135" spans="1:17" x14ac:dyDescent="0.25">
      <c r="A135" s="30" t="s">
        <v>923</v>
      </c>
      <c r="B135" s="27" t="s">
        <v>45</v>
      </c>
      <c r="C135" s="27" t="s">
        <v>917</v>
      </c>
      <c r="D135" s="27" t="s">
        <v>193</v>
      </c>
      <c r="E135" s="28" t="s">
        <v>103</v>
      </c>
      <c r="F135" s="33" t="s">
        <v>134</v>
      </c>
      <c r="G135" s="27" t="s">
        <v>924</v>
      </c>
      <c r="H135" s="27" t="s">
        <v>108</v>
      </c>
      <c r="I135" s="27" t="s">
        <v>925</v>
      </c>
      <c r="J135" s="27" t="s">
        <v>108</v>
      </c>
      <c r="K135" s="27" t="s">
        <v>926</v>
      </c>
      <c r="L135" s="27" t="s">
        <v>927</v>
      </c>
      <c r="M135" s="28" t="s">
        <v>14</v>
      </c>
      <c r="N135" s="27" t="s">
        <v>111</v>
      </c>
      <c r="O135" s="27" t="s">
        <v>112</v>
      </c>
      <c r="P135" s="29" t="s">
        <v>113</v>
      </c>
      <c r="Q135" s="27" t="s">
        <v>121</v>
      </c>
    </row>
    <row r="136" spans="1:17" x14ac:dyDescent="0.25">
      <c r="A136" s="23" t="s">
        <v>928</v>
      </c>
      <c r="B136" s="24" t="s">
        <v>45</v>
      </c>
      <c r="C136" s="24" t="s">
        <v>917</v>
      </c>
      <c r="D136" s="24" t="s">
        <v>193</v>
      </c>
      <c r="E136" s="25" t="s">
        <v>103</v>
      </c>
      <c r="F136" s="34" t="s">
        <v>116</v>
      </c>
      <c r="G136" s="24" t="s">
        <v>929</v>
      </c>
      <c r="H136" s="24" t="s">
        <v>930</v>
      </c>
      <c r="I136" s="24" t="s">
        <v>931</v>
      </c>
      <c r="J136" s="24" t="s">
        <v>108</v>
      </c>
      <c r="K136" s="24" t="s">
        <v>932</v>
      </c>
      <c r="L136" s="27" t="s">
        <v>933</v>
      </c>
      <c r="M136" s="28" t="s">
        <v>14</v>
      </c>
      <c r="N136" s="27" t="s">
        <v>111</v>
      </c>
      <c r="O136" s="27" t="s">
        <v>112</v>
      </c>
      <c r="P136" s="29" t="s">
        <v>113</v>
      </c>
      <c r="Q136" s="27" t="s">
        <v>934</v>
      </c>
    </row>
    <row r="137" spans="1:17" x14ac:dyDescent="0.25">
      <c r="A137" s="30" t="s">
        <v>935</v>
      </c>
      <c r="B137" s="27" t="s">
        <v>45</v>
      </c>
      <c r="C137" s="27" t="s">
        <v>917</v>
      </c>
      <c r="D137" s="27" t="s">
        <v>193</v>
      </c>
      <c r="E137" s="28" t="s">
        <v>103</v>
      </c>
      <c r="F137" s="31" t="s">
        <v>116</v>
      </c>
      <c r="G137" s="27" t="s">
        <v>936</v>
      </c>
      <c r="H137" s="27" t="s">
        <v>937</v>
      </c>
      <c r="I137" s="27" t="s">
        <v>938</v>
      </c>
      <c r="J137" s="27" t="s">
        <v>108</v>
      </c>
      <c r="K137" s="27" t="s">
        <v>939</v>
      </c>
      <c r="L137" s="27" t="s">
        <v>940</v>
      </c>
      <c r="M137" s="28" t="s">
        <v>14</v>
      </c>
      <c r="N137" s="27" t="s">
        <v>111</v>
      </c>
      <c r="O137" s="27" t="s">
        <v>112</v>
      </c>
      <c r="P137" s="29" t="s">
        <v>113</v>
      </c>
      <c r="Q137" s="27" t="s">
        <v>121</v>
      </c>
    </row>
    <row r="138" spans="1:17" x14ac:dyDescent="0.25">
      <c r="A138" s="23" t="s">
        <v>941</v>
      </c>
      <c r="B138" s="24" t="s">
        <v>45</v>
      </c>
      <c r="C138" s="24" t="s">
        <v>942</v>
      </c>
      <c r="D138" s="24" t="s">
        <v>193</v>
      </c>
      <c r="E138" s="25" t="s">
        <v>103</v>
      </c>
      <c r="F138" s="26" t="s">
        <v>104</v>
      </c>
      <c r="G138" s="24" t="s">
        <v>943</v>
      </c>
      <c r="H138" s="24" t="s">
        <v>108</v>
      </c>
      <c r="I138" s="24" t="s">
        <v>944</v>
      </c>
      <c r="J138" s="24" t="s">
        <v>108</v>
      </c>
      <c r="K138" s="24" t="s">
        <v>945</v>
      </c>
      <c r="L138" s="27" t="s">
        <v>946</v>
      </c>
      <c r="M138" s="28" t="s">
        <v>14</v>
      </c>
      <c r="N138" s="27" t="s">
        <v>111</v>
      </c>
      <c r="O138" s="27" t="s">
        <v>112</v>
      </c>
      <c r="P138" s="29" t="s">
        <v>113</v>
      </c>
      <c r="Q138" s="27" t="s">
        <v>121</v>
      </c>
    </row>
    <row r="139" spans="1:17" x14ac:dyDescent="0.25">
      <c r="A139" s="30" t="s">
        <v>947</v>
      </c>
      <c r="B139" s="27" t="s">
        <v>45</v>
      </c>
      <c r="C139" s="27" t="s">
        <v>948</v>
      </c>
      <c r="D139" s="27" t="s">
        <v>193</v>
      </c>
      <c r="E139" s="28" t="s">
        <v>103</v>
      </c>
      <c r="F139" s="35" t="s">
        <v>194</v>
      </c>
      <c r="G139" s="27" t="s">
        <v>949</v>
      </c>
      <c r="H139" s="27" t="s">
        <v>950</v>
      </c>
      <c r="I139" s="27" t="s">
        <v>951</v>
      </c>
      <c r="J139" s="27" t="s">
        <v>952</v>
      </c>
      <c r="K139" s="27" t="s">
        <v>953</v>
      </c>
      <c r="L139" s="27" t="s">
        <v>954</v>
      </c>
      <c r="M139" s="28" t="s">
        <v>14</v>
      </c>
      <c r="N139" s="27" t="s">
        <v>111</v>
      </c>
      <c r="O139" s="27" t="s">
        <v>112</v>
      </c>
      <c r="P139" s="29" t="s">
        <v>113</v>
      </c>
      <c r="Q139" s="27" t="s">
        <v>121</v>
      </c>
    </row>
    <row r="140" spans="1:17" x14ac:dyDescent="0.25">
      <c r="A140" s="23" t="s">
        <v>955</v>
      </c>
      <c r="B140" s="24" t="s">
        <v>45</v>
      </c>
      <c r="C140" s="24" t="s">
        <v>948</v>
      </c>
      <c r="D140" s="24" t="s">
        <v>193</v>
      </c>
      <c r="E140" s="25" t="s">
        <v>103</v>
      </c>
      <c r="F140" s="37" t="s">
        <v>194</v>
      </c>
      <c r="G140" s="24" t="s">
        <v>956</v>
      </c>
      <c r="H140" s="24" t="s">
        <v>957</v>
      </c>
      <c r="I140" s="24" t="s">
        <v>958</v>
      </c>
      <c r="J140" s="24" t="s">
        <v>108</v>
      </c>
      <c r="K140" s="24" t="s">
        <v>959</v>
      </c>
      <c r="L140" s="27" t="s">
        <v>960</v>
      </c>
      <c r="M140" s="28" t="s">
        <v>14</v>
      </c>
      <c r="N140" s="27" t="s">
        <v>111</v>
      </c>
      <c r="O140" s="27" t="s">
        <v>112</v>
      </c>
      <c r="P140" s="29" t="s">
        <v>113</v>
      </c>
      <c r="Q140" s="27" t="s">
        <v>121</v>
      </c>
    </row>
    <row r="141" spans="1:17" x14ac:dyDescent="0.25">
      <c r="A141" s="30" t="s">
        <v>961</v>
      </c>
      <c r="B141" s="27" t="s">
        <v>45</v>
      </c>
      <c r="C141" s="27" t="s">
        <v>948</v>
      </c>
      <c r="D141" s="27" t="s">
        <v>193</v>
      </c>
      <c r="E141" s="28" t="s">
        <v>103</v>
      </c>
      <c r="F141" s="31" t="s">
        <v>116</v>
      </c>
      <c r="G141" s="27" t="s">
        <v>962</v>
      </c>
      <c r="H141" s="27" t="s">
        <v>957</v>
      </c>
      <c r="I141" s="27" t="s">
        <v>963</v>
      </c>
      <c r="J141" s="27" t="s">
        <v>108</v>
      </c>
      <c r="K141" s="27" t="s">
        <v>964</v>
      </c>
      <c r="L141" s="27" t="s">
        <v>965</v>
      </c>
      <c r="M141" s="28" t="s">
        <v>14</v>
      </c>
      <c r="N141" s="27" t="s">
        <v>111</v>
      </c>
      <c r="O141" s="27" t="s">
        <v>112</v>
      </c>
      <c r="P141" s="29" t="s">
        <v>113</v>
      </c>
      <c r="Q141" s="27" t="s">
        <v>121</v>
      </c>
    </row>
    <row r="142" spans="1:17" x14ac:dyDescent="0.25">
      <c r="A142" s="23" t="s">
        <v>966</v>
      </c>
      <c r="B142" s="24" t="s">
        <v>45</v>
      </c>
      <c r="C142" s="24" t="s">
        <v>948</v>
      </c>
      <c r="D142" s="24" t="s">
        <v>193</v>
      </c>
      <c r="E142" s="25" t="s">
        <v>103</v>
      </c>
      <c r="F142" s="26" t="s">
        <v>104</v>
      </c>
      <c r="G142" s="24" t="s">
        <v>967</v>
      </c>
      <c r="H142" s="24" t="s">
        <v>968</v>
      </c>
      <c r="I142" s="24" t="s">
        <v>969</v>
      </c>
      <c r="J142" s="24" t="s">
        <v>970</v>
      </c>
      <c r="K142" s="24" t="s">
        <v>971</v>
      </c>
      <c r="L142" s="27" t="s">
        <v>972</v>
      </c>
      <c r="M142" s="28" t="s">
        <v>14</v>
      </c>
      <c r="N142" s="27" t="s">
        <v>111</v>
      </c>
      <c r="O142" s="27" t="s">
        <v>112</v>
      </c>
      <c r="P142" s="29" t="s">
        <v>113</v>
      </c>
      <c r="Q142" s="27" t="s">
        <v>121</v>
      </c>
    </row>
    <row r="143" spans="1:17" x14ac:dyDescent="0.25">
      <c r="A143" s="30" t="s">
        <v>973</v>
      </c>
      <c r="B143" s="27" t="s">
        <v>45</v>
      </c>
      <c r="C143" s="27" t="s">
        <v>948</v>
      </c>
      <c r="D143" s="27" t="s">
        <v>193</v>
      </c>
      <c r="E143" s="28" t="s">
        <v>167</v>
      </c>
      <c r="F143" s="31" t="s">
        <v>116</v>
      </c>
      <c r="G143" s="27" t="s">
        <v>974</v>
      </c>
      <c r="H143" s="27" t="s">
        <v>108</v>
      </c>
      <c r="I143" s="27" t="s">
        <v>975</v>
      </c>
      <c r="J143" s="27" t="s">
        <v>108</v>
      </c>
      <c r="K143" s="27" t="s">
        <v>976</v>
      </c>
      <c r="L143" s="27" t="s">
        <v>977</v>
      </c>
      <c r="M143" s="28" t="s">
        <v>14</v>
      </c>
      <c r="N143" s="27" t="s">
        <v>111</v>
      </c>
      <c r="O143" s="27" t="s">
        <v>112</v>
      </c>
      <c r="P143" s="29" t="s">
        <v>113</v>
      </c>
      <c r="Q143" s="27" t="s">
        <v>121</v>
      </c>
    </row>
    <row r="144" spans="1:17" x14ac:dyDescent="0.25">
      <c r="A144" s="23" t="s">
        <v>978</v>
      </c>
      <c r="B144" s="24" t="s">
        <v>45</v>
      </c>
      <c r="C144" s="24" t="s">
        <v>948</v>
      </c>
      <c r="D144" s="24" t="s">
        <v>193</v>
      </c>
      <c r="E144" s="25" t="s">
        <v>167</v>
      </c>
      <c r="F144" s="34" t="s">
        <v>116</v>
      </c>
      <c r="G144" s="24" t="s">
        <v>979</v>
      </c>
      <c r="H144" s="24" t="s">
        <v>108</v>
      </c>
      <c r="I144" s="24" t="s">
        <v>980</v>
      </c>
      <c r="J144" s="24" t="s">
        <v>108</v>
      </c>
      <c r="K144" s="24" t="s">
        <v>981</v>
      </c>
      <c r="L144" s="27" t="s">
        <v>982</v>
      </c>
      <c r="M144" s="28" t="s">
        <v>14</v>
      </c>
      <c r="N144" s="27" t="s">
        <v>111</v>
      </c>
      <c r="O144" s="27" t="s">
        <v>112</v>
      </c>
      <c r="P144" s="29" t="s">
        <v>113</v>
      </c>
      <c r="Q144" s="27" t="s">
        <v>121</v>
      </c>
    </row>
    <row r="145" spans="1:17" x14ac:dyDescent="0.25">
      <c r="A145" s="30" t="s">
        <v>983</v>
      </c>
      <c r="B145" s="27" t="s">
        <v>45</v>
      </c>
      <c r="C145" s="27" t="s">
        <v>948</v>
      </c>
      <c r="D145" s="27" t="s">
        <v>193</v>
      </c>
      <c r="E145" s="28" t="s">
        <v>167</v>
      </c>
      <c r="F145" s="31" t="s">
        <v>116</v>
      </c>
      <c r="G145" s="27" t="s">
        <v>984</v>
      </c>
      <c r="H145" s="27" t="s">
        <v>108</v>
      </c>
      <c r="I145" s="27" t="s">
        <v>985</v>
      </c>
      <c r="J145" s="27" t="s">
        <v>108</v>
      </c>
      <c r="K145" s="27" t="s">
        <v>986</v>
      </c>
      <c r="L145" s="27" t="s">
        <v>987</v>
      </c>
      <c r="M145" s="28" t="s">
        <v>14</v>
      </c>
      <c r="N145" s="27" t="s">
        <v>111</v>
      </c>
      <c r="O145" s="27" t="s">
        <v>112</v>
      </c>
      <c r="P145" s="29" t="s">
        <v>113</v>
      </c>
      <c r="Q145" s="27" t="s">
        <v>121</v>
      </c>
    </row>
    <row r="146" spans="1:17" x14ac:dyDescent="0.25">
      <c r="A146" s="23" t="s">
        <v>988</v>
      </c>
      <c r="B146" s="24" t="s">
        <v>45</v>
      </c>
      <c r="C146" s="24" t="s">
        <v>948</v>
      </c>
      <c r="D146" s="24" t="s">
        <v>193</v>
      </c>
      <c r="E146" s="25" t="s">
        <v>103</v>
      </c>
      <c r="F146" s="34" t="s">
        <v>116</v>
      </c>
      <c r="G146" s="24" t="s">
        <v>989</v>
      </c>
      <c r="H146" s="24" t="s">
        <v>108</v>
      </c>
      <c r="I146" s="24" t="s">
        <v>990</v>
      </c>
      <c r="J146" s="24" t="s">
        <v>108</v>
      </c>
      <c r="K146" s="24" t="s">
        <v>991</v>
      </c>
      <c r="L146" s="27" t="s">
        <v>992</v>
      </c>
      <c r="M146" s="28" t="s">
        <v>14</v>
      </c>
      <c r="N146" s="27" t="s">
        <v>111</v>
      </c>
      <c r="O146" s="27" t="s">
        <v>112</v>
      </c>
      <c r="P146" s="29" t="s">
        <v>113</v>
      </c>
      <c r="Q146" s="27" t="s">
        <v>993</v>
      </c>
    </row>
    <row r="147" spans="1:17" x14ac:dyDescent="0.25">
      <c r="A147" s="30" t="s">
        <v>994</v>
      </c>
      <c r="B147" s="27" t="s">
        <v>45</v>
      </c>
      <c r="C147" s="27" t="s">
        <v>995</v>
      </c>
      <c r="D147" s="27" t="s">
        <v>193</v>
      </c>
      <c r="E147" s="28" t="s">
        <v>103</v>
      </c>
      <c r="F147" s="36" t="s">
        <v>104</v>
      </c>
      <c r="G147" s="27" t="s">
        <v>996</v>
      </c>
      <c r="H147" s="27" t="s">
        <v>997</v>
      </c>
      <c r="I147" s="27" t="s">
        <v>998</v>
      </c>
      <c r="J147" s="27" t="s">
        <v>108</v>
      </c>
      <c r="K147" s="27" t="s">
        <v>999</v>
      </c>
      <c r="L147" s="27" t="s">
        <v>1000</v>
      </c>
      <c r="M147" s="28" t="s">
        <v>14</v>
      </c>
      <c r="N147" s="27" t="s">
        <v>111</v>
      </c>
      <c r="O147" s="27" t="s">
        <v>112</v>
      </c>
      <c r="P147" s="29" t="s">
        <v>113</v>
      </c>
      <c r="Q147" s="27" t="s">
        <v>121</v>
      </c>
    </row>
    <row r="148" spans="1:17" x14ac:dyDescent="0.25">
      <c r="A148" s="23" t="s">
        <v>1001</v>
      </c>
      <c r="B148" s="24" t="s">
        <v>45</v>
      </c>
      <c r="C148" s="24" t="s">
        <v>995</v>
      </c>
      <c r="D148" s="24" t="s">
        <v>193</v>
      </c>
      <c r="E148" s="25" t="s">
        <v>103</v>
      </c>
      <c r="F148" s="32" t="s">
        <v>134</v>
      </c>
      <c r="G148" s="24" t="s">
        <v>1002</v>
      </c>
      <c r="H148" s="24" t="s">
        <v>1003</v>
      </c>
      <c r="I148" s="24" t="s">
        <v>1004</v>
      </c>
      <c r="J148" s="24" t="s">
        <v>108</v>
      </c>
      <c r="K148" s="24" t="s">
        <v>1005</v>
      </c>
      <c r="L148" s="27" t="s">
        <v>1006</v>
      </c>
      <c r="M148" s="28" t="s">
        <v>14</v>
      </c>
      <c r="N148" s="27" t="s">
        <v>111</v>
      </c>
      <c r="O148" s="27" t="s">
        <v>112</v>
      </c>
      <c r="P148" s="29" t="s">
        <v>113</v>
      </c>
      <c r="Q148" s="27" t="s">
        <v>121</v>
      </c>
    </row>
    <row r="149" spans="1:17" x14ac:dyDescent="0.25">
      <c r="A149" s="30" t="s">
        <v>1007</v>
      </c>
      <c r="B149" s="27" t="s">
        <v>45</v>
      </c>
      <c r="C149" s="27" t="s">
        <v>757</v>
      </c>
      <c r="D149" s="27" t="s">
        <v>193</v>
      </c>
      <c r="E149" s="28" t="s">
        <v>103</v>
      </c>
      <c r="F149" s="33" t="s">
        <v>134</v>
      </c>
      <c r="G149" s="27" t="s">
        <v>1008</v>
      </c>
      <c r="H149" s="27" t="s">
        <v>1009</v>
      </c>
      <c r="I149" s="27" t="s">
        <v>1010</v>
      </c>
      <c r="J149" s="27" t="s">
        <v>108</v>
      </c>
      <c r="K149" s="27" t="s">
        <v>1011</v>
      </c>
      <c r="L149" s="27" t="s">
        <v>1012</v>
      </c>
      <c r="M149" s="28" t="s">
        <v>14</v>
      </c>
      <c r="N149" s="27" t="s">
        <v>111</v>
      </c>
      <c r="O149" s="27" t="s">
        <v>112</v>
      </c>
      <c r="P149" s="29" t="s">
        <v>113</v>
      </c>
      <c r="Q149" s="27" t="s">
        <v>121</v>
      </c>
    </row>
    <row r="150" spans="1:17" x14ac:dyDescent="0.25">
      <c r="A150" s="23" t="s">
        <v>1013</v>
      </c>
      <c r="B150" s="24" t="s">
        <v>45</v>
      </c>
      <c r="C150" s="24" t="s">
        <v>1014</v>
      </c>
      <c r="D150" s="24" t="s">
        <v>193</v>
      </c>
      <c r="E150" s="25" t="s">
        <v>141</v>
      </c>
      <c r="F150" s="32" t="s">
        <v>134</v>
      </c>
      <c r="G150" s="24" t="s">
        <v>1015</v>
      </c>
      <c r="H150" s="24" t="s">
        <v>1016</v>
      </c>
      <c r="I150" s="24" t="s">
        <v>1017</v>
      </c>
      <c r="J150" s="24" t="s">
        <v>108</v>
      </c>
      <c r="K150" s="24" t="s">
        <v>1018</v>
      </c>
      <c r="L150" s="27" t="s">
        <v>1019</v>
      </c>
      <c r="M150" s="28" t="s">
        <v>14</v>
      </c>
      <c r="N150" s="27" t="s">
        <v>111</v>
      </c>
      <c r="O150" s="27" t="s">
        <v>112</v>
      </c>
      <c r="P150" s="29" t="s">
        <v>113</v>
      </c>
      <c r="Q150" s="27" t="s">
        <v>121</v>
      </c>
    </row>
    <row r="151" spans="1:17" x14ac:dyDescent="0.25">
      <c r="A151" s="30" t="s">
        <v>1020</v>
      </c>
      <c r="B151" s="27" t="s">
        <v>46</v>
      </c>
      <c r="C151" s="27" t="s">
        <v>1021</v>
      </c>
      <c r="D151" s="27" t="s">
        <v>193</v>
      </c>
      <c r="E151" s="28" t="s">
        <v>103</v>
      </c>
      <c r="F151" s="35" t="s">
        <v>194</v>
      </c>
      <c r="G151" s="27" t="s">
        <v>1022</v>
      </c>
      <c r="H151" s="27" t="s">
        <v>539</v>
      </c>
      <c r="I151" s="27" t="s">
        <v>1023</v>
      </c>
      <c r="J151" s="27" t="s">
        <v>108</v>
      </c>
      <c r="K151" s="27" t="s">
        <v>1024</v>
      </c>
      <c r="L151" s="27" t="s">
        <v>1025</v>
      </c>
      <c r="M151" s="28" t="s">
        <v>14</v>
      </c>
      <c r="N151" s="27" t="s">
        <v>111</v>
      </c>
      <c r="O151" s="27" t="s">
        <v>112</v>
      </c>
      <c r="P151" s="29" t="s">
        <v>113</v>
      </c>
      <c r="Q151" s="27" t="s">
        <v>121</v>
      </c>
    </row>
    <row r="152" spans="1:17" x14ac:dyDescent="0.25">
      <c r="A152" s="23" t="s">
        <v>1026</v>
      </c>
      <c r="B152" s="24" t="s">
        <v>46</v>
      </c>
      <c r="C152" s="24" t="s">
        <v>1021</v>
      </c>
      <c r="D152" s="24" t="s">
        <v>1027</v>
      </c>
      <c r="E152" s="25" t="s">
        <v>103</v>
      </c>
      <c r="F152" s="37" t="s">
        <v>194</v>
      </c>
      <c r="G152" s="24" t="s">
        <v>1028</v>
      </c>
      <c r="H152" s="24" t="s">
        <v>1029</v>
      </c>
      <c r="I152" s="24" t="s">
        <v>1030</v>
      </c>
      <c r="J152" s="24" t="s">
        <v>108</v>
      </c>
      <c r="K152" s="24" t="s">
        <v>1031</v>
      </c>
      <c r="L152" s="27" t="s">
        <v>1032</v>
      </c>
      <c r="M152" s="28" t="s">
        <v>14</v>
      </c>
      <c r="N152" s="27" t="s">
        <v>111</v>
      </c>
      <c r="O152" s="27" t="s">
        <v>112</v>
      </c>
      <c r="P152" s="29" t="s">
        <v>113</v>
      </c>
      <c r="Q152" s="27" t="s">
        <v>121</v>
      </c>
    </row>
    <row r="153" spans="1:17" x14ac:dyDescent="0.25">
      <c r="A153" s="30" t="s">
        <v>1033</v>
      </c>
      <c r="B153" s="27" t="s">
        <v>46</v>
      </c>
      <c r="C153" s="27" t="s">
        <v>1021</v>
      </c>
      <c r="D153" s="27" t="s">
        <v>234</v>
      </c>
      <c r="E153" s="28" t="s">
        <v>103</v>
      </c>
      <c r="F153" s="35" t="s">
        <v>194</v>
      </c>
      <c r="G153" s="27" t="s">
        <v>1034</v>
      </c>
      <c r="H153" s="27" t="s">
        <v>1035</v>
      </c>
      <c r="I153" s="27" t="s">
        <v>1023</v>
      </c>
      <c r="J153" s="27" t="s">
        <v>108</v>
      </c>
      <c r="K153" s="27" t="s">
        <v>1036</v>
      </c>
      <c r="L153" s="27" t="s">
        <v>1037</v>
      </c>
      <c r="M153" s="28" t="s">
        <v>14</v>
      </c>
      <c r="N153" s="27" t="s">
        <v>111</v>
      </c>
      <c r="O153" s="27" t="s">
        <v>112</v>
      </c>
      <c r="P153" s="29" t="s">
        <v>113</v>
      </c>
      <c r="Q153" s="27" t="s">
        <v>121</v>
      </c>
    </row>
    <row r="154" spans="1:17" x14ac:dyDescent="0.25">
      <c r="A154" s="23" t="s">
        <v>1038</v>
      </c>
      <c r="B154" s="24" t="s">
        <v>46</v>
      </c>
      <c r="C154" s="24" t="s">
        <v>806</v>
      </c>
      <c r="D154" s="24" t="s">
        <v>750</v>
      </c>
      <c r="E154" s="25" t="s">
        <v>103</v>
      </c>
      <c r="F154" s="37" t="s">
        <v>194</v>
      </c>
      <c r="G154" s="24" t="s">
        <v>1039</v>
      </c>
      <c r="H154" s="24" t="s">
        <v>1040</v>
      </c>
      <c r="I154" s="24" t="s">
        <v>1041</v>
      </c>
      <c r="J154" s="24" t="s">
        <v>1042</v>
      </c>
      <c r="K154" s="24" t="s">
        <v>1043</v>
      </c>
      <c r="L154" s="27" t="s">
        <v>1044</v>
      </c>
      <c r="M154" s="28" t="s">
        <v>14</v>
      </c>
      <c r="N154" s="27" t="s">
        <v>111</v>
      </c>
      <c r="O154" s="27" t="s">
        <v>112</v>
      </c>
      <c r="P154" s="29" t="s">
        <v>113</v>
      </c>
      <c r="Q154" s="27" t="s">
        <v>121</v>
      </c>
    </row>
    <row r="155" spans="1:17" x14ac:dyDescent="0.25">
      <c r="A155" s="30" t="s">
        <v>1045</v>
      </c>
      <c r="B155" s="27" t="s">
        <v>46</v>
      </c>
      <c r="C155" s="27" t="s">
        <v>806</v>
      </c>
      <c r="D155" s="27" t="s">
        <v>750</v>
      </c>
      <c r="E155" s="28" t="s">
        <v>167</v>
      </c>
      <c r="F155" s="36" t="s">
        <v>104</v>
      </c>
      <c r="G155" s="27" t="s">
        <v>1046</v>
      </c>
      <c r="H155" s="27" t="s">
        <v>108</v>
      </c>
      <c r="I155" s="27" t="s">
        <v>1047</v>
      </c>
      <c r="J155" s="27" t="s">
        <v>108</v>
      </c>
      <c r="K155" s="27" t="s">
        <v>1048</v>
      </c>
      <c r="L155" s="27" t="s">
        <v>1049</v>
      </c>
      <c r="M155" s="28" t="s">
        <v>14</v>
      </c>
      <c r="N155" s="27" t="s">
        <v>111</v>
      </c>
      <c r="O155" s="27" t="s">
        <v>112</v>
      </c>
      <c r="P155" s="29" t="s">
        <v>113</v>
      </c>
      <c r="Q155" s="27" t="s">
        <v>121</v>
      </c>
    </row>
    <row r="156" spans="1:17" x14ac:dyDescent="0.25">
      <c r="A156" s="23" t="s">
        <v>1050</v>
      </c>
      <c r="B156" s="24" t="s">
        <v>46</v>
      </c>
      <c r="C156" s="24" t="s">
        <v>806</v>
      </c>
      <c r="D156" s="24" t="s">
        <v>750</v>
      </c>
      <c r="E156" s="25" t="s">
        <v>167</v>
      </c>
      <c r="F156" s="32" t="s">
        <v>134</v>
      </c>
      <c r="G156" s="24" t="s">
        <v>1051</v>
      </c>
      <c r="H156" s="24" t="s">
        <v>108</v>
      </c>
      <c r="I156" s="24" t="s">
        <v>1052</v>
      </c>
      <c r="J156" s="24" t="s">
        <v>108</v>
      </c>
      <c r="K156" s="24" t="s">
        <v>1053</v>
      </c>
      <c r="L156" s="27" t="s">
        <v>1054</v>
      </c>
      <c r="M156" s="28" t="s">
        <v>14</v>
      </c>
      <c r="N156" s="27" t="s">
        <v>111</v>
      </c>
      <c r="O156" s="27" t="s">
        <v>112</v>
      </c>
      <c r="P156" s="29" t="s">
        <v>113</v>
      </c>
      <c r="Q156" s="27" t="s">
        <v>1055</v>
      </c>
    </row>
    <row r="157" spans="1:17" x14ac:dyDescent="0.25">
      <c r="A157" s="30" t="s">
        <v>1056</v>
      </c>
      <c r="B157" s="27" t="s">
        <v>46</v>
      </c>
      <c r="C157" s="27" t="s">
        <v>806</v>
      </c>
      <c r="D157" s="27" t="s">
        <v>750</v>
      </c>
      <c r="E157" s="28" t="s">
        <v>103</v>
      </c>
      <c r="F157" s="36" t="s">
        <v>104</v>
      </c>
      <c r="G157" s="27" t="s">
        <v>1057</v>
      </c>
      <c r="H157" s="27" t="s">
        <v>1058</v>
      </c>
      <c r="I157" s="27" t="s">
        <v>1059</v>
      </c>
      <c r="J157" s="27" t="s">
        <v>108</v>
      </c>
      <c r="K157" s="27" t="s">
        <v>1060</v>
      </c>
      <c r="L157" s="27" t="s">
        <v>1061</v>
      </c>
      <c r="M157" s="28" t="s">
        <v>14</v>
      </c>
      <c r="N157" s="27" t="s">
        <v>111</v>
      </c>
      <c r="O157" s="27" t="s">
        <v>112</v>
      </c>
      <c r="P157" s="29" t="s">
        <v>113</v>
      </c>
      <c r="Q157" s="27" t="s">
        <v>121</v>
      </c>
    </row>
    <row r="158" spans="1:17" x14ac:dyDescent="0.25">
      <c r="A158" s="23" t="s">
        <v>1062</v>
      </c>
      <c r="B158" s="24" t="s">
        <v>46</v>
      </c>
      <c r="C158" s="24" t="s">
        <v>806</v>
      </c>
      <c r="D158" s="24" t="s">
        <v>234</v>
      </c>
      <c r="E158" s="25" t="s">
        <v>288</v>
      </c>
      <c r="F158" s="26" t="s">
        <v>104</v>
      </c>
      <c r="G158" s="24" t="s">
        <v>1063</v>
      </c>
      <c r="H158" s="24" t="s">
        <v>1064</v>
      </c>
      <c r="I158" s="24" t="s">
        <v>1065</v>
      </c>
      <c r="J158" s="24" t="s">
        <v>108</v>
      </c>
      <c r="K158" s="24" t="s">
        <v>1066</v>
      </c>
      <c r="L158" s="27" t="s">
        <v>1067</v>
      </c>
      <c r="M158" s="28" t="s">
        <v>14</v>
      </c>
      <c r="N158" s="27" t="s">
        <v>111</v>
      </c>
      <c r="O158" s="27" t="s">
        <v>112</v>
      </c>
      <c r="P158" s="29" t="s">
        <v>113</v>
      </c>
      <c r="Q158" s="27" t="s">
        <v>1068</v>
      </c>
    </row>
    <row r="159" spans="1:17" x14ac:dyDescent="0.25">
      <c r="A159" s="30" t="s">
        <v>1069</v>
      </c>
      <c r="B159" s="27" t="s">
        <v>46</v>
      </c>
      <c r="C159" s="27" t="s">
        <v>783</v>
      </c>
      <c r="D159" s="27" t="s">
        <v>133</v>
      </c>
      <c r="E159" s="28" t="s">
        <v>103</v>
      </c>
      <c r="F159" s="31" t="s">
        <v>116</v>
      </c>
      <c r="G159" s="27" t="s">
        <v>1070</v>
      </c>
      <c r="H159" s="27" t="s">
        <v>1071</v>
      </c>
      <c r="I159" s="27" t="s">
        <v>1072</v>
      </c>
      <c r="J159" s="27" t="s">
        <v>1073</v>
      </c>
      <c r="K159" s="27" t="s">
        <v>1074</v>
      </c>
      <c r="L159" s="27" t="s">
        <v>1075</v>
      </c>
      <c r="M159" s="28" t="s">
        <v>14</v>
      </c>
      <c r="N159" s="27" t="s">
        <v>111</v>
      </c>
      <c r="O159" s="27" t="s">
        <v>112</v>
      </c>
      <c r="P159" s="29" t="s">
        <v>113</v>
      </c>
      <c r="Q159" s="27" t="s">
        <v>121</v>
      </c>
    </row>
    <row r="160" spans="1:17" x14ac:dyDescent="0.25">
      <c r="A160" s="23" t="s">
        <v>1076</v>
      </c>
      <c r="B160" s="24" t="s">
        <v>46</v>
      </c>
      <c r="C160" s="24" t="s">
        <v>1077</v>
      </c>
      <c r="D160" s="24" t="s">
        <v>133</v>
      </c>
      <c r="E160" s="25" t="s">
        <v>103</v>
      </c>
      <c r="F160" s="34" t="s">
        <v>116</v>
      </c>
      <c r="G160" s="24" t="s">
        <v>1078</v>
      </c>
      <c r="H160" s="24" t="s">
        <v>1079</v>
      </c>
      <c r="I160" s="24" t="s">
        <v>1080</v>
      </c>
      <c r="J160" s="24" t="s">
        <v>108</v>
      </c>
      <c r="K160" s="24" t="s">
        <v>1081</v>
      </c>
      <c r="L160" s="27" t="s">
        <v>1082</v>
      </c>
      <c r="M160" s="28" t="s">
        <v>14</v>
      </c>
      <c r="N160" s="27" t="s">
        <v>111</v>
      </c>
      <c r="O160" s="27" t="s">
        <v>112</v>
      </c>
      <c r="P160" s="29" t="s">
        <v>113</v>
      </c>
      <c r="Q160" s="27" t="s">
        <v>121</v>
      </c>
    </row>
    <row r="161" spans="1:17" x14ac:dyDescent="0.25">
      <c r="A161" s="30" t="s">
        <v>1083</v>
      </c>
      <c r="B161" s="27" t="s">
        <v>46</v>
      </c>
      <c r="C161" s="27" t="s">
        <v>1084</v>
      </c>
      <c r="D161" s="27" t="s">
        <v>133</v>
      </c>
      <c r="E161" s="28" t="s">
        <v>103</v>
      </c>
      <c r="F161" s="31" t="s">
        <v>116</v>
      </c>
      <c r="G161" s="27" t="s">
        <v>1085</v>
      </c>
      <c r="H161" s="27" t="s">
        <v>108</v>
      </c>
      <c r="I161" s="27" t="s">
        <v>1086</v>
      </c>
      <c r="J161" s="27" t="s">
        <v>108</v>
      </c>
      <c r="K161" s="27" t="s">
        <v>1087</v>
      </c>
      <c r="L161" s="27" t="s">
        <v>1088</v>
      </c>
      <c r="M161" s="28" t="s">
        <v>14</v>
      </c>
      <c r="N161" s="27" t="s">
        <v>111</v>
      </c>
      <c r="O161" s="27" t="s">
        <v>112</v>
      </c>
      <c r="P161" s="29" t="s">
        <v>113</v>
      </c>
      <c r="Q161" s="27" t="s">
        <v>121</v>
      </c>
    </row>
    <row r="162" spans="1:17" x14ac:dyDescent="0.25">
      <c r="A162" s="23" t="s">
        <v>1089</v>
      </c>
      <c r="B162" s="24" t="s">
        <v>46</v>
      </c>
      <c r="C162" s="24" t="s">
        <v>1090</v>
      </c>
      <c r="D162" s="24" t="s">
        <v>133</v>
      </c>
      <c r="E162" s="25" t="s">
        <v>103</v>
      </c>
      <c r="F162" s="26" t="s">
        <v>104</v>
      </c>
      <c r="G162" s="24" t="s">
        <v>1091</v>
      </c>
      <c r="H162" s="24" t="s">
        <v>1092</v>
      </c>
      <c r="I162" s="24" t="s">
        <v>1093</v>
      </c>
      <c r="J162" s="24" t="s">
        <v>108</v>
      </c>
      <c r="K162" s="24" t="s">
        <v>1094</v>
      </c>
      <c r="L162" s="27" t="s">
        <v>1095</v>
      </c>
      <c r="M162" s="28" t="s">
        <v>14</v>
      </c>
      <c r="N162" s="27" t="s">
        <v>111</v>
      </c>
      <c r="O162" s="27" t="s">
        <v>112</v>
      </c>
      <c r="P162" s="29" t="s">
        <v>113</v>
      </c>
      <c r="Q162" s="27" t="s">
        <v>121</v>
      </c>
    </row>
    <row r="163" spans="1:17" x14ac:dyDescent="0.25">
      <c r="A163" s="30" t="s">
        <v>1096</v>
      </c>
      <c r="B163" s="27" t="s">
        <v>46</v>
      </c>
      <c r="C163" s="27" t="s">
        <v>866</v>
      </c>
      <c r="D163" s="27" t="s">
        <v>750</v>
      </c>
      <c r="E163" s="28" t="s">
        <v>103</v>
      </c>
      <c r="F163" s="36" t="s">
        <v>104</v>
      </c>
      <c r="G163" s="27" t="s">
        <v>1097</v>
      </c>
      <c r="H163" s="27" t="s">
        <v>1098</v>
      </c>
      <c r="I163" s="27" t="s">
        <v>1099</v>
      </c>
      <c r="J163" s="27" t="s">
        <v>108</v>
      </c>
      <c r="K163" s="27" t="s">
        <v>1100</v>
      </c>
      <c r="L163" s="27" t="s">
        <v>1101</v>
      </c>
      <c r="M163" s="28" t="s">
        <v>14</v>
      </c>
      <c r="N163" s="27" t="s">
        <v>111</v>
      </c>
      <c r="O163" s="27" t="s">
        <v>112</v>
      </c>
      <c r="P163" s="29" t="s">
        <v>113</v>
      </c>
      <c r="Q163" s="27" t="s">
        <v>121</v>
      </c>
    </row>
    <row r="164" spans="1:17" x14ac:dyDescent="0.25">
      <c r="A164" s="23" t="s">
        <v>1102</v>
      </c>
      <c r="B164" s="24" t="s">
        <v>46</v>
      </c>
      <c r="C164" s="24" t="s">
        <v>866</v>
      </c>
      <c r="D164" s="24" t="s">
        <v>750</v>
      </c>
      <c r="E164" s="25" t="s">
        <v>167</v>
      </c>
      <c r="F164" s="34" t="s">
        <v>116</v>
      </c>
      <c r="G164" s="24" t="s">
        <v>1103</v>
      </c>
      <c r="H164" s="24" t="s">
        <v>108</v>
      </c>
      <c r="I164" s="24" t="s">
        <v>1104</v>
      </c>
      <c r="J164" s="24" t="s">
        <v>108</v>
      </c>
      <c r="K164" s="24" t="s">
        <v>1105</v>
      </c>
      <c r="L164" s="27" t="s">
        <v>1106</v>
      </c>
      <c r="M164" s="28" t="s">
        <v>14</v>
      </c>
      <c r="N164" s="27" t="s">
        <v>111</v>
      </c>
      <c r="O164" s="27" t="s">
        <v>112</v>
      </c>
      <c r="P164" s="29" t="s">
        <v>113</v>
      </c>
      <c r="Q164" s="27" t="s">
        <v>1107</v>
      </c>
    </row>
    <row r="165" spans="1:17" x14ac:dyDescent="0.25">
      <c r="A165" s="30" t="s">
        <v>1108</v>
      </c>
      <c r="B165" s="27" t="s">
        <v>46</v>
      </c>
      <c r="C165" s="27" t="s">
        <v>866</v>
      </c>
      <c r="D165" s="27" t="s">
        <v>750</v>
      </c>
      <c r="E165" s="28" t="s">
        <v>103</v>
      </c>
      <c r="F165" s="31" t="s">
        <v>116</v>
      </c>
      <c r="G165" s="27" t="s">
        <v>1109</v>
      </c>
      <c r="H165" s="27" t="s">
        <v>108</v>
      </c>
      <c r="I165" s="27" t="s">
        <v>1110</v>
      </c>
      <c r="J165" s="27" t="s">
        <v>108</v>
      </c>
      <c r="K165" s="27" t="s">
        <v>1111</v>
      </c>
      <c r="L165" s="27" t="s">
        <v>1112</v>
      </c>
      <c r="M165" s="28" t="s">
        <v>14</v>
      </c>
      <c r="N165" s="27" t="s">
        <v>111</v>
      </c>
      <c r="O165" s="27" t="s">
        <v>112</v>
      </c>
      <c r="P165" s="29" t="s">
        <v>113</v>
      </c>
      <c r="Q165" s="27" t="s">
        <v>121</v>
      </c>
    </row>
    <row r="166" spans="1:17" x14ac:dyDescent="0.25">
      <c r="A166" s="23" t="s">
        <v>1113</v>
      </c>
      <c r="B166" s="24" t="s">
        <v>46</v>
      </c>
      <c r="C166" s="24" t="s">
        <v>866</v>
      </c>
      <c r="D166" s="24" t="s">
        <v>750</v>
      </c>
      <c r="E166" s="25" t="s">
        <v>103</v>
      </c>
      <c r="F166" s="34" t="s">
        <v>116</v>
      </c>
      <c r="G166" s="24" t="s">
        <v>1114</v>
      </c>
      <c r="H166" s="24" t="s">
        <v>108</v>
      </c>
      <c r="I166" s="24" t="s">
        <v>1115</v>
      </c>
      <c r="J166" s="24" t="s">
        <v>108</v>
      </c>
      <c r="K166" s="24" t="s">
        <v>1116</v>
      </c>
      <c r="L166" s="27" t="s">
        <v>1117</v>
      </c>
      <c r="M166" s="28" t="s">
        <v>14</v>
      </c>
      <c r="N166" s="27" t="s">
        <v>111</v>
      </c>
      <c r="O166" s="27" t="s">
        <v>112</v>
      </c>
      <c r="P166" s="29" t="s">
        <v>113</v>
      </c>
      <c r="Q166" s="27" t="s">
        <v>121</v>
      </c>
    </row>
    <row r="167" spans="1:17" x14ac:dyDescent="0.25">
      <c r="A167" s="30" t="s">
        <v>1118</v>
      </c>
      <c r="B167" s="27" t="s">
        <v>46</v>
      </c>
      <c r="C167" s="27" t="s">
        <v>917</v>
      </c>
      <c r="D167" s="27" t="s">
        <v>1119</v>
      </c>
      <c r="E167" s="28" t="s">
        <v>103</v>
      </c>
      <c r="F167" s="35" t="s">
        <v>194</v>
      </c>
      <c r="G167" s="27" t="s">
        <v>1120</v>
      </c>
      <c r="H167" s="27" t="s">
        <v>1121</v>
      </c>
      <c r="I167" s="27" t="s">
        <v>1122</v>
      </c>
      <c r="J167" s="27" t="s">
        <v>108</v>
      </c>
      <c r="K167" s="27" t="s">
        <v>1123</v>
      </c>
      <c r="L167" s="27" t="s">
        <v>1124</v>
      </c>
      <c r="M167" s="28" t="s">
        <v>14</v>
      </c>
      <c r="N167" s="27" t="s">
        <v>111</v>
      </c>
      <c r="O167" s="27" t="s">
        <v>112</v>
      </c>
      <c r="P167" s="29" t="s">
        <v>113</v>
      </c>
      <c r="Q167" s="27" t="s">
        <v>121</v>
      </c>
    </row>
    <row r="168" spans="1:17" x14ac:dyDescent="0.25">
      <c r="A168" s="23" t="s">
        <v>1125</v>
      </c>
      <c r="B168" s="24" t="s">
        <v>46</v>
      </c>
      <c r="C168" s="24" t="s">
        <v>917</v>
      </c>
      <c r="D168" s="24" t="s">
        <v>1126</v>
      </c>
      <c r="E168" s="25" t="s">
        <v>288</v>
      </c>
      <c r="F168" s="26" t="s">
        <v>104</v>
      </c>
      <c r="G168" s="24" t="s">
        <v>1127</v>
      </c>
      <c r="H168" s="24" t="s">
        <v>1128</v>
      </c>
      <c r="I168" s="24" t="s">
        <v>1129</v>
      </c>
      <c r="J168" s="24" t="s">
        <v>108</v>
      </c>
      <c r="K168" s="24" t="s">
        <v>1130</v>
      </c>
      <c r="L168" s="27" t="s">
        <v>1131</v>
      </c>
      <c r="M168" s="28" t="s">
        <v>14</v>
      </c>
      <c r="N168" s="27" t="s">
        <v>111</v>
      </c>
      <c r="O168" s="27" t="s">
        <v>112</v>
      </c>
      <c r="P168" s="29" t="s">
        <v>113</v>
      </c>
      <c r="Q168" s="27" t="s">
        <v>1132</v>
      </c>
    </row>
    <row r="169" spans="1:17" x14ac:dyDescent="0.25">
      <c r="A169" s="30" t="s">
        <v>1133</v>
      </c>
      <c r="B169" s="27" t="s">
        <v>46</v>
      </c>
      <c r="C169" s="27" t="s">
        <v>917</v>
      </c>
      <c r="D169" s="27" t="s">
        <v>750</v>
      </c>
      <c r="E169" s="28" t="s">
        <v>103</v>
      </c>
      <c r="F169" s="33" t="s">
        <v>134</v>
      </c>
      <c r="G169" s="27" t="s">
        <v>1134</v>
      </c>
      <c r="H169" s="27" t="s">
        <v>108</v>
      </c>
      <c r="I169" s="27" t="s">
        <v>925</v>
      </c>
      <c r="J169" s="27" t="s">
        <v>108</v>
      </c>
      <c r="K169" s="27" t="s">
        <v>1135</v>
      </c>
      <c r="L169" s="27" t="s">
        <v>1136</v>
      </c>
      <c r="M169" s="28" t="s">
        <v>14</v>
      </c>
      <c r="N169" s="27" t="s">
        <v>111</v>
      </c>
      <c r="O169" s="27" t="s">
        <v>112</v>
      </c>
      <c r="P169" s="29" t="s">
        <v>113</v>
      </c>
      <c r="Q169" s="27" t="s">
        <v>121</v>
      </c>
    </row>
    <row r="170" spans="1:17" x14ac:dyDescent="0.25">
      <c r="A170" s="23" t="s">
        <v>1137</v>
      </c>
      <c r="B170" s="24" t="s">
        <v>46</v>
      </c>
      <c r="C170" s="24" t="s">
        <v>917</v>
      </c>
      <c r="D170" s="24" t="s">
        <v>133</v>
      </c>
      <c r="E170" s="25" t="s">
        <v>103</v>
      </c>
      <c r="F170" s="32" t="s">
        <v>134</v>
      </c>
      <c r="G170" s="24" t="s">
        <v>1138</v>
      </c>
      <c r="H170" s="24" t="s">
        <v>1139</v>
      </c>
      <c r="I170" s="24" t="s">
        <v>1140</v>
      </c>
      <c r="J170" s="24" t="s">
        <v>108</v>
      </c>
      <c r="K170" s="24" t="s">
        <v>1141</v>
      </c>
      <c r="L170" s="27" t="s">
        <v>1142</v>
      </c>
      <c r="M170" s="28" t="s">
        <v>14</v>
      </c>
      <c r="N170" s="27" t="s">
        <v>111</v>
      </c>
      <c r="O170" s="27" t="s">
        <v>112</v>
      </c>
      <c r="P170" s="29" t="s">
        <v>113</v>
      </c>
      <c r="Q170" s="27" t="s">
        <v>121</v>
      </c>
    </row>
    <row r="171" spans="1:17" x14ac:dyDescent="0.25">
      <c r="A171" s="30" t="s">
        <v>1143</v>
      </c>
      <c r="B171" s="27" t="s">
        <v>46</v>
      </c>
      <c r="C171" s="27" t="s">
        <v>1144</v>
      </c>
      <c r="D171" s="27" t="s">
        <v>1145</v>
      </c>
      <c r="E171" s="28" t="s">
        <v>103</v>
      </c>
      <c r="F171" s="35" t="s">
        <v>194</v>
      </c>
      <c r="G171" s="27" t="s">
        <v>1146</v>
      </c>
      <c r="H171" s="27" t="s">
        <v>1147</v>
      </c>
      <c r="I171" s="27" t="s">
        <v>1148</v>
      </c>
      <c r="J171" s="27" t="s">
        <v>1149</v>
      </c>
      <c r="K171" s="27" t="s">
        <v>1150</v>
      </c>
      <c r="L171" s="27" t="s">
        <v>1151</v>
      </c>
      <c r="M171" s="28" t="s">
        <v>14</v>
      </c>
      <c r="N171" s="27" t="s">
        <v>111</v>
      </c>
      <c r="O171" s="27" t="s">
        <v>112</v>
      </c>
      <c r="P171" s="29" t="s">
        <v>113</v>
      </c>
      <c r="Q171" s="27" t="s">
        <v>121</v>
      </c>
    </row>
    <row r="172" spans="1:17" x14ac:dyDescent="0.25">
      <c r="A172" s="23" t="s">
        <v>1152</v>
      </c>
      <c r="B172" s="24" t="s">
        <v>46</v>
      </c>
      <c r="C172" s="24" t="s">
        <v>1144</v>
      </c>
      <c r="D172" s="24" t="s">
        <v>1145</v>
      </c>
      <c r="E172" s="25" t="s">
        <v>167</v>
      </c>
      <c r="F172" s="26" t="s">
        <v>104</v>
      </c>
      <c r="G172" s="24" t="s">
        <v>1153</v>
      </c>
      <c r="H172" s="24" t="s">
        <v>108</v>
      </c>
      <c r="I172" s="24" t="s">
        <v>1154</v>
      </c>
      <c r="J172" s="24" t="s">
        <v>108</v>
      </c>
      <c r="K172" s="24" t="s">
        <v>1155</v>
      </c>
      <c r="L172" s="27" t="s">
        <v>1156</v>
      </c>
      <c r="M172" s="28" t="s">
        <v>14</v>
      </c>
      <c r="N172" s="27" t="s">
        <v>111</v>
      </c>
      <c r="O172" s="27" t="s">
        <v>112</v>
      </c>
      <c r="P172" s="29" t="s">
        <v>113</v>
      </c>
      <c r="Q172" s="27" t="s">
        <v>121</v>
      </c>
    </row>
    <row r="173" spans="1:17" x14ac:dyDescent="0.25">
      <c r="A173" s="30" t="s">
        <v>1157</v>
      </c>
      <c r="B173" s="27" t="s">
        <v>46</v>
      </c>
      <c r="C173" s="27" t="s">
        <v>1144</v>
      </c>
      <c r="D173" s="27" t="s">
        <v>1145</v>
      </c>
      <c r="E173" s="28" t="s">
        <v>103</v>
      </c>
      <c r="F173" s="31" t="s">
        <v>116</v>
      </c>
      <c r="G173" s="27" t="s">
        <v>1158</v>
      </c>
      <c r="H173" s="27" t="s">
        <v>108</v>
      </c>
      <c r="I173" s="27" t="s">
        <v>1159</v>
      </c>
      <c r="J173" s="27" t="s">
        <v>1160</v>
      </c>
      <c r="K173" s="27" t="s">
        <v>1161</v>
      </c>
      <c r="L173" s="27" t="s">
        <v>1162</v>
      </c>
      <c r="M173" s="28" t="s">
        <v>14</v>
      </c>
      <c r="N173" s="27" t="s">
        <v>111</v>
      </c>
      <c r="O173" s="27" t="s">
        <v>112</v>
      </c>
      <c r="P173" s="29" t="s">
        <v>113</v>
      </c>
      <c r="Q173" s="27" t="s">
        <v>121</v>
      </c>
    </row>
    <row r="174" spans="1:17" x14ac:dyDescent="0.25">
      <c r="A174" s="23" t="s">
        <v>1163</v>
      </c>
      <c r="B174" s="24" t="s">
        <v>46</v>
      </c>
      <c r="C174" s="24" t="s">
        <v>1144</v>
      </c>
      <c r="D174" s="24" t="s">
        <v>1145</v>
      </c>
      <c r="E174" s="25" t="s">
        <v>103</v>
      </c>
      <c r="F174" s="34" t="s">
        <v>116</v>
      </c>
      <c r="G174" s="24" t="s">
        <v>1164</v>
      </c>
      <c r="H174" s="24" t="s">
        <v>108</v>
      </c>
      <c r="I174" s="24" t="s">
        <v>1165</v>
      </c>
      <c r="J174" s="24" t="s">
        <v>108</v>
      </c>
      <c r="K174" s="24" t="s">
        <v>1166</v>
      </c>
      <c r="L174" s="27" t="s">
        <v>1167</v>
      </c>
      <c r="M174" s="28" t="s">
        <v>14</v>
      </c>
      <c r="N174" s="27" t="s">
        <v>111</v>
      </c>
      <c r="O174" s="27" t="s">
        <v>112</v>
      </c>
      <c r="P174" s="29" t="s">
        <v>113</v>
      </c>
      <c r="Q174" s="27" t="s">
        <v>121</v>
      </c>
    </row>
    <row r="175" spans="1:17" x14ac:dyDescent="0.25">
      <c r="A175" s="30" t="s">
        <v>1168</v>
      </c>
      <c r="B175" s="27" t="s">
        <v>46</v>
      </c>
      <c r="C175" s="27" t="s">
        <v>1144</v>
      </c>
      <c r="D175" s="27" t="s">
        <v>1145</v>
      </c>
      <c r="E175" s="28" t="s">
        <v>103</v>
      </c>
      <c r="F175" s="33" t="s">
        <v>134</v>
      </c>
      <c r="G175" s="27" t="s">
        <v>1169</v>
      </c>
      <c r="H175" s="27" t="s">
        <v>108</v>
      </c>
      <c r="I175" s="27" t="s">
        <v>1170</v>
      </c>
      <c r="J175" s="27" t="s">
        <v>108</v>
      </c>
      <c r="K175" s="27" t="s">
        <v>1171</v>
      </c>
      <c r="L175" s="27" t="s">
        <v>1172</v>
      </c>
      <c r="M175" s="28" t="s">
        <v>14</v>
      </c>
      <c r="N175" s="27" t="s">
        <v>111</v>
      </c>
      <c r="O175" s="27" t="s">
        <v>112</v>
      </c>
      <c r="P175" s="29" t="s">
        <v>113</v>
      </c>
      <c r="Q175" s="27" t="s">
        <v>121</v>
      </c>
    </row>
    <row r="176" spans="1:17" x14ac:dyDescent="0.25">
      <c r="A176" s="23" t="s">
        <v>1173</v>
      </c>
      <c r="B176" s="24" t="s">
        <v>46</v>
      </c>
      <c r="C176" s="24" t="s">
        <v>1144</v>
      </c>
      <c r="D176" s="24" t="s">
        <v>234</v>
      </c>
      <c r="E176" s="25" t="s">
        <v>288</v>
      </c>
      <c r="F176" s="26" t="s">
        <v>104</v>
      </c>
      <c r="G176" s="24" t="s">
        <v>1174</v>
      </c>
      <c r="H176" s="24" t="s">
        <v>1035</v>
      </c>
      <c r="I176" s="24" t="s">
        <v>1175</v>
      </c>
      <c r="J176" s="24" t="s">
        <v>108</v>
      </c>
      <c r="K176" s="24" t="s">
        <v>1176</v>
      </c>
      <c r="L176" s="27" t="s">
        <v>1177</v>
      </c>
      <c r="M176" s="28" t="s">
        <v>14</v>
      </c>
      <c r="N176" s="27" t="s">
        <v>111</v>
      </c>
      <c r="O176" s="27" t="s">
        <v>112</v>
      </c>
      <c r="P176" s="29" t="s">
        <v>113</v>
      </c>
      <c r="Q176" s="27" t="s">
        <v>121</v>
      </c>
    </row>
    <row r="177" spans="1:17" x14ac:dyDescent="0.25">
      <c r="A177" s="30" t="s">
        <v>1178</v>
      </c>
      <c r="B177" s="27" t="s">
        <v>46</v>
      </c>
      <c r="C177" s="27" t="s">
        <v>1179</v>
      </c>
      <c r="D177" s="27" t="s">
        <v>750</v>
      </c>
      <c r="E177" s="28" t="s">
        <v>103</v>
      </c>
      <c r="F177" s="36" t="s">
        <v>104</v>
      </c>
      <c r="G177" s="27" t="s">
        <v>1180</v>
      </c>
      <c r="H177" s="27" t="s">
        <v>1181</v>
      </c>
      <c r="I177" s="27" t="s">
        <v>1182</v>
      </c>
      <c r="J177" s="27" t="s">
        <v>108</v>
      </c>
      <c r="K177" s="27" t="s">
        <v>1183</v>
      </c>
      <c r="L177" s="27" t="s">
        <v>1184</v>
      </c>
      <c r="M177" s="28" t="s">
        <v>14</v>
      </c>
      <c r="N177" s="27" t="s">
        <v>111</v>
      </c>
      <c r="O177" s="27" t="s">
        <v>112</v>
      </c>
      <c r="P177" s="29" t="s">
        <v>113</v>
      </c>
      <c r="Q177" s="27" t="s">
        <v>121</v>
      </c>
    </row>
    <row r="178" spans="1:17" x14ac:dyDescent="0.25">
      <c r="A178" s="23" t="s">
        <v>1185</v>
      </c>
      <c r="B178" s="24" t="s">
        <v>46</v>
      </c>
      <c r="C178" s="24" t="s">
        <v>1179</v>
      </c>
      <c r="D178" s="24" t="s">
        <v>750</v>
      </c>
      <c r="E178" s="25" t="s">
        <v>103</v>
      </c>
      <c r="F178" s="26" t="s">
        <v>104</v>
      </c>
      <c r="G178" s="24" t="s">
        <v>1186</v>
      </c>
      <c r="H178" s="24" t="s">
        <v>1187</v>
      </c>
      <c r="I178" s="24" t="s">
        <v>1188</v>
      </c>
      <c r="J178" s="24" t="s">
        <v>108</v>
      </c>
      <c r="K178" s="24" t="s">
        <v>1189</v>
      </c>
      <c r="L178" s="27" t="s">
        <v>1190</v>
      </c>
      <c r="M178" s="28" t="s">
        <v>14</v>
      </c>
      <c r="N178" s="27" t="s">
        <v>111</v>
      </c>
      <c r="O178" s="27" t="s">
        <v>112</v>
      </c>
      <c r="P178" s="29" t="s">
        <v>113</v>
      </c>
      <c r="Q178" s="27" t="s">
        <v>121</v>
      </c>
    </row>
    <row r="179" spans="1:17" x14ac:dyDescent="0.25">
      <c r="A179" s="30" t="s">
        <v>1191</v>
      </c>
      <c r="B179" s="27" t="s">
        <v>46</v>
      </c>
      <c r="C179" s="27" t="s">
        <v>1192</v>
      </c>
      <c r="D179" s="27" t="s">
        <v>133</v>
      </c>
      <c r="E179" s="28" t="s">
        <v>103</v>
      </c>
      <c r="F179" s="36" t="s">
        <v>104</v>
      </c>
      <c r="G179" s="27" t="s">
        <v>1193</v>
      </c>
      <c r="H179" s="27" t="s">
        <v>1194</v>
      </c>
      <c r="I179" s="27" t="s">
        <v>1195</v>
      </c>
      <c r="J179" s="27" t="s">
        <v>108</v>
      </c>
      <c r="K179" s="27" t="s">
        <v>1196</v>
      </c>
      <c r="L179" s="27" t="s">
        <v>1197</v>
      </c>
      <c r="M179" s="28" t="s">
        <v>14</v>
      </c>
      <c r="N179" s="27" t="s">
        <v>111</v>
      </c>
      <c r="O179" s="27" t="s">
        <v>112</v>
      </c>
      <c r="P179" s="29" t="s">
        <v>113</v>
      </c>
      <c r="Q179" s="27" t="s">
        <v>121</v>
      </c>
    </row>
    <row r="180" spans="1:17" x14ac:dyDescent="0.25">
      <c r="A180" s="23" t="s">
        <v>1198</v>
      </c>
      <c r="B180" s="24" t="s">
        <v>46</v>
      </c>
      <c r="C180" s="24" t="s">
        <v>1199</v>
      </c>
      <c r="D180" s="24" t="s">
        <v>133</v>
      </c>
      <c r="E180" s="25" t="s">
        <v>103</v>
      </c>
      <c r="F180" s="34" t="s">
        <v>116</v>
      </c>
      <c r="G180" s="24" t="s">
        <v>1200</v>
      </c>
      <c r="H180" s="24" t="s">
        <v>1201</v>
      </c>
      <c r="I180" s="24" t="s">
        <v>1202</v>
      </c>
      <c r="J180" s="24" t="s">
        <v>108</v>
      </c>
      <c r="K180" s="24" t="s">
        <v>1203</v>
      </c>
      <c r="L180" s="27" t="s">
        <v>1204</v>
      </c>
      <c r="M180" s="28" t="s">
        <v>14</v>
      </c>
      <c r="N180" s="27" t="s">
        <v>111</v>
      </c>
      <c r="O180" s="27" t="s">
        <v>112</v>
      </c>
      <c r="P180" s="29" t="s">
        <v>113</v>
      </c>
      <c r="Q180" s="27" t="s">
        <v>121</v>
      </c>
    </row>
    <row r="181" spans="1:17" x14ac:dyDescent="0.25">
      <c r="A181" s="30" t="s">
        <v>1205</v>
      </c>
      <c r="B181" s="27" t="s">
        <v>46</v>
      </c>
      <c r="C181" s="27" t="s">
        <v>1199</v>
      </c>
      <c r="D181" s="27" t="s">
        <v>133</v>
      </c>
      <c r="E181" s="28" t="s">
        <v>103</v>
      </c>
      <c r="F181" s="31" t="s">
        <v>116</v>
      </c>
      <c r="G181" s="27" t="s">
        <v>1206</v>
      </c>
      <c r="H181" s="27" t="s">
        <v>108</v>
      </c>
      <c r="I181" s="27" t="s">
        <v>1207</v>
      </c>
      <c r="J181" s="27" t="s">
        <v>108</v>
      </c>
      <c r="K181" s="27" t="s">
        <v>1208</v>
      </c>
      <c r="L181" s="27" t="s">
        <v>1209</v>
      </c>
      <c r="M181" s="28" t="s">
        <v>14</v>
      </c>
      <c r="N181" s="27" t="s">
        <v>111</v>
      </c>
      <c r="O181" s="27" t="s">
        <v>112</v>
      </c>
      <c r="P181" s="29" t="s">
        <v>113</v>
      </c>
      <c r="Q181" s="27" t="s">
        <v>121</v>
      </c>
    </row>
    <row r="182" spans="1:17" x14ac:dyDescent="0.25">
      <c r="A182" s="23" t="s">
        <v>1210</v>
      </c>
      <c r="B182" s="24" t="s">
        <v>46</v>
      </c>
      <c r="C182" s="24" t="s">
        <v>757</v>
      </c>
      <c r="D182" s="24" t="s">
        <v>133</v>
      </c>
      <c r="E182" s="25" t="s">
        <v>103</v>
      </c>
      <c r="F182" s="34" t="s">
        <v>116</v>
      </c>
      <c r="G182" s="24" t="s">
        <v>1211</v>
      </c>
      <c r="H182" s="24" t="s">
        <v>759</v>
      </c>
      <c r="I182" s="24" t="s">
        <v>1212</v>
      </c>
      <c r="J182" s="24" t="s">
        <v>108</v>
      </c>
      <c r="K182" s="24" t="s">
        <v>1213</v>
      </c>
      <c r="L182" s="27" t="s">
        <v>1214</v>
      </c>
      <c r="M182" s="28" t="s">
        <v>14</v>
      </c>
      <c r="N182" s="27" t="s">
        <v>111</v>
      </c>
      <c r="O182" s="27" t="s">
        <v>112</v>
      </c>
      <c r="P182" s="29" t="s">
        <v>113</v>
      </c>
      <c r="Q182" s="27" t="s">
        <v>121</v>
      </c>
    </row>
    <row r="183" spans="1:17" x14ac:dyDescent="0.25">
      <c r="A183" s="30" t="s">
        <v>1215</v>
      </c>
      <c r="B183" s="27" t="s">
        <v>47</v>
      </c>
      <c r="C183" s="27" t="s">
        <v>1084</v>
      </c>
      <c r="D183" s="27" t="s">
        <v>133</v>
      </c>
      <c r="E183" s="28" t="s">
        <v>103</v>
      </c>
      <c r="F183" s="36" t="s">
        <v>104</v>
      </c>
      <c r="G183" s="27" t="s">
        <v>1216</v>
      </c>
      <c r="H183" s="27" t="s">
        <v>1217</v>
      </c>
      <c r="I183" s="27" t="s">
        <v>1218</v>
      </c>
      <c r="J183" s="27" t="s">
        <v>108</v>
      </c>
      <c r="K183" s="27" t="s">
        <v>1219</v>
      </c>
      <c r="L183" s="27" t="s">
        <v>1220</v>
      </c>
      <c r="M183" s="28" t="s">
        <v>14</v>
      </c>
      <c r="N183" s="27" t="s">
        <v>111</v>
      </c>
      <c r="O183" s="27" t="s">
        <v>112</v>
      </c>
      <c r="P183" s="29" t="s">
        <v>113</v>
      </c>
      <c r="Q183" s="27" t="s">
        <v>121</v>
      </c>
    </row>
    <row r="184" spans="1:17" x14ac:dyDescent="0.25">
      <c r="A184" s="23" t="s">
        <v>1221</v>
      </c>
      <c r="B184" s="24" t="s">
        <v>47</v>
      </c>
      <c r="C184" s="24" t="s">
        <v>95</v>
      </c>
      <c r="D184" s="24" t="s">
        <v>1222</v>
      </c>
      <c r="E184" s="25" t="s">
        <v>103</v>
      </c>
      <c r="F184" s="37" t="s">
        <v>194</v>
      </c>
      <c r="G184" s="24" t="s">
        <v>1223</v>
      </c>
      <c r="H184" s="24" t="s">
        <v>1224</v>
      </c>
      <c r="I184" s="24" t="s">
        <v>1225</v>
      </c>
      <c r="J184" s="24" t="s">
        <v>108</v>
      </c>
      <c r="K184" s="24" t="s">
        <v>1226</v>
      </c>
      <c r="L184" s="27" t="s">
        <v>1227</v>
      </c>
      <c r="M184" s="28" t="s">
        <v>14</v>
      </c>
      <c r="N184" s="27" t="s">
        <v>111</v>
      </c>
      <c r="O184" s="27" t="s">
        <v>112</v>
      </c>
      <c r="P184" s="29" t="s">
        <v>113</v>
      </c>
      <c r="Q184" s="27" t="s">
        <v>121</v>
      </c>
    </row>
    <row r="185" spans="1:17" x14ac:dyDescent="0.25">
      <c r="A185" s="30" t="s">
        <v>1228</v>
      </c>
      <c r="B185" s="27" t="s">
        <v>47</v>
      </c>
      <c r="C185" s="27" t="s">
        <v>95</v>
      </c>
      <c r="D185" s="27" t="s">
        <v>234</v>
      </c>
      <c r="E185" s="28" t="s">
        <v>103</v>
      </c>
      <c r="F185" s="35" t="s">
        <v>194</v>
      </c>
      <c r="G185" s="27" t="s">
        <v>1229</v>
      </c>
      <c r="H185" s="27" t="s">
        <v>108</v>
      </c>
      <c r="I185" s="27" t="s">
        <v>1230</v>
      </c>
      <c r="J185" s="27" t="s">
        <v>108</v>
      </c>
      <c r="K185" s="27" t="s">
        <v>1231</v>
      </c>
      <c r="L185" s="27" t="s">
        <v>1232</v>
      </c>
      <c r="M185" s="28" t="s">
        <v>14</v>
      </c>
      <c r="N185" s="27" t="s">
        <v>111</v>
      </c>
      <c r="O185" s="27" t="s">
        <v>112</v>
      </c>
      <c r="P185" s="29" t="s">
        <v>113</v>
      </c>
      <c r="Q185" s="27" t="s">
        <v>121</v>
      </c>
    </row>
    <row r="186" spans="1:17" x14ac:dyDescent="0.25">
      <c r="A186" s="23" t="s">
        <v>1233</v>
      </c>
      <c r="B186" s="24" t="s">
        <v>47</v>
      </c>
      <c r="C186" s="24" t="s">
        <v>95</v>
      </c>
      <c r="D186" s="24" t="s">
        <v>234</v>
      </c>
      <c r="E186" s="25" t="s">
        <v>167</v>
      </c>
      <c r="F186" s="37" t="s">
        <v>194</v>
      </c>
      <c r="G186" s="24" t="s">
        <v>1234</v>
      </c>
      <c r="H186" s="24" t="s">
        <v>1235</v>
      </c>
      <c r="I186" s="24" t="s">
        <v>1236</v>
      </c>
      <c r="J186" s="24" t="s">
        <v>108</v>
      </c>
      <c r="K186" s="24" t="s">
        <v>1237</v>
      </c>
      <c r="L186" s="27" t="s">
        <v>1238</v>
      </c>
      <c r="M186" s="28" t="s">
        <v>14</v>
      </c>
      <c r="N186" s="27" t="s">
        <v>111</v>
      </c>
      <c r="O186" s="27" t="s">
        <v>112</v>
      </c>
      <c r="P186" s="29" t="s">
        <v>113</v>
      </c>
      <c r="Q186" s="27" t="s">
        <v>1239</v>
      </c>
    </row>
    <row r="187" spans="1:17" x14ac:dyDescent="0.25">
      <c r="A187" s="30" t="s">
        <v>1240</v>
      </c>
      <c r="B187" s="27" t="s">
        <v>47</v>
      </c>
      <c r="C187" s="27" t="s">
        <v>95</v>
      </c>
      <c r="D187" s="27" t="s">
        <v>729</v>
      </c>
      <c r="E187" s="28" t="s">
        <v>167</v>
      </c>
      <c r="F187" s="36" t="s">
        <v>104</v>
      </c>
      <c r="G187" s="27" t="s">
        <v>1241</v>
      </c>
      <c r="H187" s="27" t="s">
        <v>1242</v>
      </c>
      <c r="I187" s="27" t="s">
        <v>1243</v>
      </c>
      <c r="J187" s="27" t="s">
        <v>108</v>
      </c>
      <c r="K187" s="27" t="s">
        <v>1244</v>
      </c>
      <c r="L187" s="27" t="s">
        <v>1245</v>
      </c>
      <c r="M187" s="28" t="s">
        <v>14</v>
      </c>
      <c r="N187" s="27" t="s">
        <v>111</v>
      </c>
      <c r="O187" s="27" t="s">
        <v>112</v>
      </c>
      <c r="P187" s="29" t="s">
        <v>113</v>
      </c>
      <c r="Q187" s="27" t="s">
        <v>121</v>
      </c>
    </row>
    <row r="188" spans="1:17" x14ac:dyDescent="0.25">
      <c r="A188" s="23" t="s">
        <v>1246</v>
      </c>
      <c r="B188" s="24" t="s">
        <v>47</v>
      </c>
      <c r="C188" s="24" t="s">
        <v>95</v>
      </c>
      <c r="D188" s="24" t="s">
        <v>234</v>
      </c>
      <c r="E188" s="25" t="s">
        <v>288</v>
      </c>
      <c r="F188" s="26" t="s">
        <v>104</v>
      </c>
      <c r="G188" s="24" t="s">
        <v>1247</v>
      </c>
      <c r="H188" s="24" t="s">
        <v>1248</v>
      </c>
      <c r="I188" s="24" t="s">
        <v>1249</v>
      </c>
      <c r="J188" s="24" t="s">
        <v>108</v>
      </c>
      <c r="K188" s="24" t="s">
        <v>1250</v>
      </c>
      <c r="L188" s="27" t="s">
        <v>1251</v>
      </c>
      <c r="M188" s="28" t="s">
        <v>14</v>
      </c>
      <c r="N188" s="27" t="s">
        <v>111</v>
      </c>
      <c r="O188" s="27" t="s">
        <v>112</v>
      </c>
      <c r="P188" s="29" t="s">
        <v>113</v>
      </c>
      <c r="Q188" s="27" t="s">
        <v>1252</v>
      </c>
    </row>
    <row r="189" spans="1:17" x14ac:dyDescent="0.25">
      <c r="A189" s="30" t="s">
        <v>1253</v>
      </c>
      <c r="B189" s="27" t="s">
        <v>47</v>
      </c>
      <c r="C189" s="27" t="s">
        <v>866</v>
      </c>
      <c r="D189" s="27" t="s">
        <v>729</v>
      </c>
      <c r="E189" s="28" t="s">
        <v>103</v>
      </c>
      <c r="F189" s="36" t="s">
        <v>104</v>
      </c>
      <c r="G189" s="27" t="s">
        <v>1254</v>
      </c>
      <c r="H189" s="27" t="s">
        <v>1255</v>
      </c>
      <c r="I189" s="27" t="s">
        <v>1256</v>
      </c>
      <c r="J189" s="27" t="s">
        <v>108</v>
      </c>
      <c r="K189" s="27" t="s">
        <v>1257</v>
      </c>
      <c r="L189" s="27" t="s">
        <v>1258</v>
      </c>
      <c r="M189" s="28" t="s">
        <v>14</v>
      </c>
      <c r="N189" s="27" t="s">
        <v>111</v>
      </c>
      <c r="O189" s="27" t="s">
        <v>112</v>
      </c>
      <c r="P189" s="29" t="s">
        <v>113</v>
      </c>
      <c r="Q189" s="27" t="s">
        <v>121</v>
      </c>
    </row>
    <row r="190" spans="1:17" x14ac:dyDescent="0.25">
      <c r="A190" s="23" t="s">
        <v>1259</v>
      </c>
      <c r="B190" s="24" t="s">
        <v>47</v>
      </c>
      <c r="C190" s="24" t="s">
        <v>866</v>
      </c>
      <c r="D190" s="24" t="s">
        <v>234</v>
      </c>
      <c r="E190" s="25" t="s">
        <v>288</v>
      </c>
      <c r="F190" s="26" t="s">
        <v>104</v>
      </c>
      <c r="G190" s="24" t="s">
        <v>1260</v>
      </c>
      <c r="H190" s="24" t="s">
        <v>1035</v>
      </c>
      <c r="I190" s="24" t="s">
        <v>1261</v>
      </c>
      <c r="J190" s="24" t="s">
        <v>108</v>
      </c>
      <c r="K190" s="24" t="s">
        <v>1262</v>
      </c>
      <c r="L190" s="27" t="s">
        <v>1263</v>
      </c>
      <c r="M190" s="28" t="s">
        <v>14</v>
      </c>
      <c r="N190" s="27" t="s">
        <v>111</v>
      </c>
      <c r="O190" s="27" t="s">
        <v>112</v>
      </c>
      <c r="P190" s="29" t="s">
        <v>113</v>
      </c>
      <c r="Q190" s="27" t="s">
        <v>121</v>
      </c>
    </row>
    <row r="191" spans="1:17" x14ac:dyDescent="0.25">
      <c r="A191" s="30" t="s">
        <v>1264</v>
      </c>
      <c r="B191" s="27" t="s">
        <v>47</v>
      </c>
      <c r="C191" s="27" t="s">
        <v>917</v>
      </c>
      <c r="D191" s="27" t="s">
        <v>1145</v>
      </c>
      <c r="E191" s="28" t="s">
        <v>103</v>
      </c>
      <c r="F191" s="36" t="s">
        <v>104</v>
      </c>
      <c r="G191" s="27" t="s">
        <v>1265</v>
      </c>
      <c r="H191" s="27" t="s">
        <v>108</v>
      </c>
      <c r="I191" s="27" t="s">
        <v>1266</v>
      </c>
      <c r="J191" s="27" t="s">
        <v>108</v>
      </c>
      <c r="K191" s="27" t="s">
        <v>1267</v>
      </c>
      <c r="L191" s="27" t="s">
        <v>1268</v>
      </c>
      <c r="M191" s="28" t="s">
        <v>14</v>
      </c>
      <c r="N191" s="27" t="s">
        <v>111</v>
      </c>
      <c r="O191" s="27" t="s">
        <v>112</v>
      </c>
      <c r="P191" s="29" t="s">
        <v>113</v>
      </c>
      <c r="Q191" s="27" t="s">
        <v>121</v>
      </c>
    </row>
    <row r="192" spans="1:17" x14ac:dyDescent="0.25">
      <c r="A192" s="23" t="s">
        <v>1269</v>
      </c>
      <c r="B192" s="24" t="s">
        <v>47</v>
      </c>
      <c r="C192" s="24" t="s">
        <v>917</v>
      </c>
      <c r="D192" s="24" t="s">
        <v>234</v>
      </c>
      <c r="E192" s="25" t="s">
        <v>288</v>
      </c>
      <c r="F192" s="26" t="s">
        <v>104</v>
      </c>
      <c r="G192" s="24" t="s">
        <v>1270</v>
      </c>
      <c r="H192" s="24" t="s">
        <v>1035</v>
      </c>
      <c r="I192" s="24" t="s">
        <v>1271</v>
      </c>
      <c r="J192" s="24" t="s">
        <v>108</v>
      </c>
      <c r="K192" s="24" t="s">
        <v>1272</v>
      </c>
      <c r="L192" s="27" t="s">
        <v>1273</v>
      </c>
      <c r="M192" s="28" t="s">
        <v>14</v>
      </c>
      <c r="N192" s="27" t="s">
        <v>111</v>
      </c>
      <c r="O192" s="27" t="s">
        <v>112</v>
      </c>
      <c r="P192" s="29" t="s">
        <v>113</v>
      </c>
      <c r="Q192" s="27" t="s">
        <v>121</v>
      </c>
    </row>
    <row r="193" spans="1:17" x14ac:dyDescent="0.25">
      <c r="A193" s="30" t="s">
        <v>1274</v>
      </c>
      <c r="B193" s="27" t="s">
        <v>47</v>
      </c>
      <c r="C193" s="27" t="s">
        <v>1275</v>
      </c>
      <c r="D193" s="27" t="s">
        <v>133</v>
      </c>
      <c r="E193" s="28" t="s">
        <v>103</v>
      </c>
      <c r="F193" s="36" t="s">
        <v>104</v>
      </c>
      <c r="G193" s="27" t="s">
        <v>1276</v>
      </c>
      <c r="H193" s="27" t="s">
        <v>1277</v>
      </c>
      <c r="I193" s="27" t="s">
        <v>1278</v>
      </c>
      <c r="J193" s="27" t="s">
        <v>1279</v>
      </c>
      <c r="K193" s="27" t="s">
        <v>1280</v>
      </c>
      <c r="L193" s="27" t="s">
        <v>1281</v>
      </c>
      <c r="M193" s="28" t="s">
        <v>14</v>
      </c>
      <c r="N193" s="27" t="s">
        <v>111</v>
      </c>
      <c r="O193" s="27" t="s">
        <v>112</v>
      </c>
      <c r="P193" s="29" t="s">
        <v>113</v>
      </c>
      <c r="Q193" s="27" t="s">
        <v>1282</v>
      </c>
    </row>
    <row r="194" spans="1:17" x14ac:dyDescent="0.25">
      <c r="A194" s="23" t="s">
        <v>1283</v>
      </c>
      <c r="B194" s="24" t="s">
        <v>47</v>
      </c>
      <c r="C194" s="24" t="s">
        <v>1275</v>
      </c>
      <c r="D194" s="24" t="s">
        <v>133</v>
      </c>
      <c r="E194" s="25" t="s">
        <v>167</v>
      </c>
      <c r="F194" s="34" t="s">
        <v>116</v>
      </c>
      <c r="G194" s="24" t="s">
        <v>1284</v>
      </c>
      <c r="H194" s="24" t="s">
        <v>108</v>
      </c>
      <c r="I194" s="24" t="s">
        <v>1285</v>
      </c>
      <c r="J194" s="24" t="s">
        <v>1286</v>
      </c>
      <c r="K194" s="24" t="s">
        <v>1287</v>
      </c>
      <c r="L194" s="27" t="s">
        <v>1288</v>
      </c>
      <c r="M194" s="28" t="s">
        <v>14</v>
      </c>
      <c r="N194" s="27" t="s">
        <v>111</v>
      </c>
      <c r="O194" s="27" t="s">
        <v>112</v>
      </c>
      <c r="P194" s="29" t="s">
        <v>113</v>
      </c>
      <c r="Q194" s="27" t="s">
        <v>121</v>
      </c>
    </row>
    <row r="195" spans="1:17" x14ac:dyDescent="0.25">
      <c r="A195" s="30" t="s">
        <v>1289</v>
      </c>
      <c r="B195" s="27" t="s">
        <v>47</v>
      </c>
      <c r="C195" s="27" t="s">
        <v>1275</v>
      </c>
      <c r="D195" s="27" t="s">
        <v>133</v>
      </c>
      <c r="E195" s="28" t="s">
        <v>103</v>
      </c>
      <c r="F195" s="31" t="s">
        <v>116</v>
      </c>
      <c r="G195" s="27" t="s">
        <v>1290</v>
      </c>
      <c r="H195" s="27" t="s">
        <v>108</v>
      </c>
      <c r="I195" s="27" t="s">
        <v>1291</v>
      </c>
      <c r="J195" s="27" t="s">
        <v>108</v>
      </c>
      <c r="K195" s="27" t="s">
        <v>1292</v>
      </c>
      <c r="L195" s="27" t="s">
        <v>1293</v>
      </c>
      <c r="M195" s="28" t="s">
        <v>14</v>
      </c>
      <c r="N195" s="27" t="s">
        <v>111</v>
      </c>
      <c r="O195" s="27" t="s">
        <v>112</v>
      </c>
      <c r="P195" s="29" t="s">
        <v>113</v>
      </c>
      <c r="Q195" s="27" t="s">
        <v>121</v>
      </c>
    </row>
    <row r="196" spans="1:17" x14ac:dyDescent="0.25">
      <c r="A196" s="23" t="s">
        <v>1294</v>
      </c>
      <c r="B196" s="24" t="s">
        <v>47</v>
      </c>
      <c r="C196" s="24" t="s">
        <v>1275</v>
      </c>
      <c r="D196" s="24" t="s">
        <v>133</v>
      </c>
      <c r="E196" s="25" t="s">
        <v>103</v>
      </c>
      <c r="F196" s="26" t="s">
        <v>104</v>
      </c>
      <c r="G196" s="24" t="s">
        <v>1295</v>
      </c>
      <c r="H196" s="24" t="s">
        <v>1296</v>
      </c>
      <c r="I196" s="24" t="s">
        <v>1297</v>
      </c>
      <c r="J196" s="24" t="s">
        <v>108</v>
      </c>
      <c r="K196" s="24" t="s">
        <v>1298</v>
      </c>
      <c r="L196" s="27" t="s">
        <v>1299</v>
      </c>
      <c r="M196" s="28" t="s">
        <v>14</v>
      </c>
      <c r="N196" s="27" t="s">
        <v>111</v>
      </c>
      <c r="O196" s="27" t="s">
        <v>112</v>
      </c>
      <c r="P196" s="29" t="s">
        <v>113</v>
      </c>
      <c r="Q196" s="27" t="s">
        <v>121</v>
      </c>
    </row>
    <row r="197" spans="1:17" x14ac:dyDescent="0.25">
      <c r="A197" s="30" t="s">
        <v>1300</v>
      </c>
      <c r="B197" s="27" t="s">
        <v>47</v>
      </c>
      <c r="C197" s="27" t="s">
        <v>1275</v>
      </c>
      <c r="D197" s="27" t="s">
        <v>133</v>
      </c>
      <c r="E197" s="28" t="s">
        <v>288</v>
      </c>
      <c r="F197" s="36" t="s">
        <v>104</v>
      </c>
      <c r="G197" s="27" t="s">
        <v>1301</v>
      </c>
      <c r="H197" s="27" t="s">
        <v>108</v>
      </c>
      <c r="I197" s="27" t="s">
        <v>1302</v>
      </c>
      <c r="J197" s="27" t="s">
        <v>108</v>
      </c>
      <c r="K197" s="27" t="s">
        <v>1303</v>
      </c>
      <c r="L197" s="27" t="s">
        <v>1304</v>
      </c>
      <c r="M197" s="28" t="s">
        <v>14</v>
      </c>
      <c r="N197" s="27" t="s">
        <v>111</v>
      </c>
      <c r="O197" s="27" t="s">
        <v>112</v>
      </c>
      <c r="P197" s="29" t="s">
        <v>113</v>
      </c>
      <c r="Q197" s="27" t="s">
        <v>121</v>
      </c>
    </row>
    <row r="198" spans="1:17" x14ac:dyDescent="0.25">
      <c r="A198" s="23" t="s">
        <v>1305</v>
      </c>
      <c r="B198" s="24" t="s">
        <v>47</v>
      </c>
      <c r="C198" s="24" t="s">
        <v>1275</v>
      </c>
      <c r="D198" s="24" t="s">
        <v>133</v>
      </c>
      <c r="E198" s="25" t="s">
        <v>141</v>
      </c>
      <c r="F198" s="32" t="s">
        <v>134</v>
      </c>
      <c r="G198" s="24" t="s">
        <v>1306</v>
      </c>
      <c r="H198" s="24" t="s">
        <v>108</v>
      </c>
      <c r="I198" s="24" t="s">
        <v>1307</v>
      </c>
      <c r="J198" s="24" t="s">
        <v>108</v>
      </c>
      <c r="K198" s="24" t="s">
        <v>1308</v>
      </c>
      <c r="L198" s="27" t="s">
        <v>1309</v>
      </c>
      <c r="M198" s="28" t="s">
        <v>14</v>
      </c>
      <c r="N198" s="27" t="s">
        <v>111</v>
      </c>
      <c r="O198" s="27" t="s">
        <v>112</v>
      </c>
      <c r="P198" s="29" t="s">
        <v>113</v>
      </c>
      <c r="Q198" s="27" t="s">
        <v>121</v>
      </c>
    </row>
    <row r="199" spans="1:17" x14ac:dyDescent="0.25">
      <c r="A199" s="30" t="s">
        <v>1310</v>
      </c>
      <c r="B199" s="27" t="s">
        <v>47</v>
      </c>
      <c r="C199" s="27" t="s">
        <v>1311</v>
      </c>
      <c r="D199" s="27" t="s">
        <v>133</v>
      </c>
      <c r="E199" s="28" t="s">
        <v>103</v>
      </c>
      <c r="F199" s="36" t="s">
        <v>104</v>
      </c>
      <c r="G199" s="27" t="s">
        <v>1312</v>
      </c>
      <c r="H199" s="27" t="s">
        <v>1277</v>
      </c>
      <c r="I199" s="27" t="s">
        <v>1313</v>
      </c>
      <c r="J199" s="27" t="s">
        <v>1314</v>
      </c>
      <c r="K199" s="27" t="s">
        <v>1315</v>
      </c>
      <c r="L199" s="27" t="s">
        <v>1316</v>
      </c>
      <c r="M199" s="28" t="s">
        <v>14</v>
      </c>
      <c r="N199" s="27" t="s">
        <v>111</v>
      </c>
      <c r="O199" s="27" t="s">
        <v>112</v>
      </c>
      <c r="P199" s="29" t="s">
        <v>113</v>
      </c>
      <c r="Q199" s="27" t="s">
        <v>121</v>
      </c>
    </row>
    <row r="200" spans="1:17" x14ac:dyDescent="0.25">
      <c r="A200" s="23" t="s">
        <v>1317</v>
      </c>
      <c r="B200" s="24" t="s">
        <v>47</v>
      </c>
      <c r="C200" s="24" t="s">
        <v>1311</v>
      </c>
      <c r="D200" s="24" t="s">
        <v>133</v>
      </c>
      <c r="E200" s="25" t="s">
        <v>167</v>
      </c>
      <c r="F200" s="26" t="s">
        <v>104</v>
      </c>
      <c r="G200" s="24" t="s">
        <v>1318</v>
      </c>
      <c r="H200" s="24" t="s">
        <v>108</v>
      </c>
      <c r="I200" s="24" t="s">
        <v>1319</v>
      </c>
      <c r="J200" s="24" t="s">
        <v>1320</v>
      </c>
      <c r="K200" s="24" t="s">
        <v>1321</v>
      </c>
      <c r="L200" s="27" t="s">
        <v>1322</v>
      </c>
      <c r="M200" s="28" t="s">
        <v>14</v>
      </c>
      <c r="N200" s="27" t="s">
        <v>111</v>
      </c>
      <c r="O200" s="27" t="s">
        <v>112</v>
      </c>
      <c r="P200" s="29" t="s">
        <v>113</v>
      </c>
      <c r="Q200" s="27" t="s">
        <v>121</v>
      </c>
    </row>
    <row r="201" spans="1:17" x14ac:dyDescent="0.25">
      <c r="A201" s="30" t="s">
        <v>1323</v>
      </c>
      <c r="B201" s="27" t="s">
        <v>47</v>
      </c>
      <c r="C201" s="27" t="s">
        <v>1311</v>
      </c>
      <c r="D201" s="27" t="s">
        <v>133</v>
      </c>
      <c r="E201" s="28" t="s">
        <v>103</v>
      </c>
      <c r="F201" s="31" t="s">
        <v>116</v>
      </c>
      <c r="G201" s="27" t="s">
        <v>1324</v>
      </c>
      <c r="H201" s="27" t="s">
        <v>1325</v>
      </c>
      <c r="I201" s="27" t="s">
        <v>1326</v>
      </c>
      <c r="J201" s="27" t="s">
        <v>108</v>
      </c>
      <c r="K201" s="27" t="s">
        <v>1327</v>
      </c>
      <c r="L201" s="27" t="s">
        <v>1328</v>
      </c>
      <c r="M201" s="28" t="s">
        <v>14</v>
      </c>
      <c r="N201" s="27" t="s">
        <v>111</v>
      </c>
      <c r="O201" s="27" t="s">
        <v>112</v>
      </c>
      <c r="P201" s="29" t="s">
        <v>113</v>
      </c>
      <c r="Q201" s="27" t="s">
        <v>121</v>
      </c>
    </row>
    <row r="202" spans="1:17" x14ac:dyDescent="0.25">
      <c r="A202" s="23" t="s">
        <v>1329</v>
      </c>
      <c r="B202" s="24" t="s">
        <v>47</v>
      </c>
      <c r="C202" s="24" t="s">
        <v>1311</v>
      </c>
      <c r="D202" s="24" t="s">
        <v>133</v>
      </c>
      <c r="E202" s="25" t="s">
        <v>103</v>
      </c>
      <c r="F202" s="34" t="s">
        <v>116</v>
      </c>
      <c r="G202" s="24" t="s">
        <v>1330</v>
      </c>
      <c r="H202" s="24" t="s">
        <v>1296</v>
      </c>
      <c r="I202" s="24" t="s">
        <v>1331</v>
      </c>
      <c r="J202" s="24" t="s">
        <v>108</v>
      </c>
      <c r="K202" s="24" t="s">
        <v>1332</v>
      </c>
      <c r="L202" s="27" t="s">
        <v>1333</v>
      </c>
      <c r="M202" s="28" t="s">
        <v>14</v>
      </c>
      <c r="N202" s="27" t="s">
        <v>111</v>
      </c>
      <c r="O202" s="27" t="s">
        <v>112</v>
      </c>
      <c r="P202" s="29" t="s">
        <v>113</v>
      </c>
      <c r="Q202" s="27" t="s">
        <v>121</v>
      </c>
    </row>
    <row r="203" spans="1:17" x14ac:dyDescent="0.25">
      <c r="A203" s="30" t="s">
        <v>1334</v>
      </c>
      <c r="B203" s="27" t="s">
        <v>47</v>
      </c>
      <c r="C203" s="27" t="s">
        <v>1311</v>
      </c>
      <c r="D203" s="27" t="s">
        <v>133</v>
      </c>
      <c r="E203" s="28" t="s">
        <v>103</v>
      </c>
      <c r="F203" s="33" t="s">
        <v>134</v>
      </c>
      <c r="G203" s="27" t="s">
        <v>1335</v>
      </c>
      <c r="H203" s="27" t="s">
        <v>108</v>
      </c>
      <c r="I203" s="27" t="s">
        <v>1336</v>
      </c>
      <c r="J203" s="27" t="s">
        <v>108</v>
      </c>
      <c r="K203" s="27" t="s">
        <v>1337</v>
      </c>
      <c r="L203" s="27" t="s">
        <v>1338</v>
      </c>
      <c r="M203" s="28" t="s">
        <v>14</v>
      </c>
      <c r="N203" s="27" t="s">
        <v>111</v>
      </c>
      <c r="O203" s="27" t="s">
        <v>112</v>
      </c>
      <c r="P203" s="29" t="s">
        <v>113</v>
      </c>
      <c r="Q203" s="27" t="s">
        <v>121</v>
      </c>
    </row>
    <row r="204" spans="1:17" x14ac:dyDescent="0.25">
      <c r="A204" s="23" t="s">
        <v>1339</v>
      </c>
      <c r="B204" s="24" t="s">
        <v>47</v>
      </c>
      <c r="C204" s="24" t="s">
        <v>1340</v>
      </c>
      <c r="D204" s="24" t="s">
        <v>133</v>
      </c>
      <c r="E204" s="25" t="s">
        <v>103</v>
      </c>
      <c r="F204" s="34" t="s">
        <v>116</v>
      </c>
      <c r="G204" s="24" t="s">
        <v>1341</v>
      </c>
      <c r="H204" s="24" t="s">
        <v>1342</v>
      </c>
      <c r="I204" s="24" t="s">
        <v>1343</v>
      </c>
      <c r="J204" s="24" t="s">
        <v>108</v>
      </c>
      <c r="K204" s="24" t="s">
        <v>1344</v>
      </c>
      <c r="L204" s="27" t="s">
        <v>1345</v>
      </c>
      <c r="M204" s="28" t="s">
        <v>14</v>
      </c>
      <c r="N204" s="27" t="s">
        <v>111</v>
      </c>
      <c r="O204" s="27" t="s">
        <v>112</v>
      </c>
      <c r="P204" s="29" t="s">
        <v>113</v>
      </c>
      <c r="Q204" s="27" t="s">
        <v>121</v>
      </c>
    </row>
    <row r="205" spans="1:17" x14ac:dyDescent="0.25">
      <c r="A205" s="30" t="s">
        <v>1346</v>
      </c>
      <c r="B205" s="27" t="s">
        <v>48</v>
      </c>
      <c r="C205" s="27" t="s">
        <v>771</v>
      </c>
      <c r="D205" s="27" t="s">
        <v>193</v>
      </c>
      <c r="E205" s="28" t="s">
        <v>103</v>
      </c>
      <c r="F205" s="36" t="s">
        <v>104</v>
      </c>
      <c r="G205" s="27" t="s">
        <v>1347</v>
      </c>
      <c r="H205" s="27" t="s">
        <v>539</v>
      </c>
      <c r="I205" s="27" t="s">
        <v>1348</v>
      </c>
      <c r="J205" s="27" t="s">
        <v>108</v>
      </c>
      <c r="K205" s="27" t="s">
        <v>1349</v>
      </c>
      <c r="L205" s="27" t="s">
        <v>1350</v>
      </c>
      <c r="M205" s="28" t="s">
        <v>14</v>
      </c>
      <c r="N205" s="27" t="s">
        <v>111</v>
      </c>
      <c r="O205" s="27" t="s">
        <v>112</v>
      </c>
      <c r="P205" s="29" t="s">
        <v>113</v>
      </c>
      <c r="Q205" s="27" t="s">
        <v>121</v>
      </c>
    </row>
    <row r="206" spans="1:17" x14ac:dyDescent="0.25">
      <c r="A206" s="23" t="s">
        <v>1351</v>
      </c>
      <c r="B206" s="24" t="s">
        <v>48</v>
      </c>
      <c r="C206" s="24" t="s">
        <v>783</v>
      </c>
      <c r="D206" s="24" t="s">
        <v>193</v>
      </c>
      <c r="E206" s="25" t="s">
        <v>103</v>
      </c>
      <c r="F206" s="34" t="s">
        <v>116</v>
      </c>
      <c r="G206" s="24" t="s">
        <v>1352</v>
      </c>
      <c r="H206" s="24" t="s">
        <v>108</v>
      </c>
      <c r="I206" s="24" t="s">
        <v>1353</v>
      </c>
      <c r="J206" s="24" t="s">
        <v>108</v>
      </c>
      <c r="K206" s="24" t="s">
        <v>1354</v>
      </c>
      <c r="L206" s="27" t="s">
        <v>1355</v>
      </c>
      <c r="M206" s="28" t="s">
        <v>14</v>
      </c>
      <c r="N206" s="27" t="s">
        <v>111</v>
      </c>
      <c r="O206" s="27" t="s">
        <v>112</v>
      </c>
      <c r="P206" s="29" t="s">
        <v>113</v>
      </c>
      <c r="Q206" s="27" t="s">
        <v>121</v>
      </c>
    </row>
    <row r="207" spans="1:17" x14ac:dyDescent="0.25">
      <c r="A207" s="30" t="s">
        <v>1356</v>
      </c>
      <c r="B207" s="27" t="s">
        <v>48</v>
      </c>
      <c r="C207" s="27" t="s">
        <v>790</v>
      </c>
      <c r="D207" s="27" t="s">
        <v>193</v>
      </c>
      <c r="E207" s="28" t="s">
        <v>103</v>
      </c>
      <c r="F207" s="31" t="s">
        <v>116</v>
      </c>
      <c r="G207" s="27" t="s">
        <v>1357</v>
      </c>
      <c r="H207" s="27" t="s">
        <v>108</v>
      </c>
      <c r="I207" s="27" t="s">
        <v>1358</v>
      </c>
      <c r="J207" s="27" t="s">
        <v>108</v>
      </c>
      <c r="K207" s="27" t="s">
        <v>1359</v>
      </c>
      <c r="L207" s="27" t="s">
        <v>1360</v>
      </c>
      <c r="M207" s="28" t="s">
        <v>14</v>
      </c>
      <c r="N207" s="27" t="s">
        <v>111</v>
      </c>
      <c r="O207" s="27" t="s">
        <v>112</v>
      </c>
      <c r="P207" s="29" t="s">
        <v>113</v>
      </c>
      <c r="Q207" s="27" t="s">
        <v>121</v>
      </c>
    </row>
    <row r="208" spans="1:17" x14ac:dyDescent="0.25">
      <c r="A208" s="23" t="s">
        <v>1361</v>
      </c>
      <c r="B208" s="24" t="s">
        <v>48</v>
      </c>
      <c r="C208" s="24" t="s">
        <v>790</v>
      </c>
      <c r="D208" s="24" t="s">
        <v>193</v>
      </c>
      <c r="E208" s="25" t="s">
        <v>103</v>
      </c>
      <c r="F208" s="34" t="s">
        <v>116</v>
      </c>
      <c r="G208" s="24" t="s">
        <v>1362</v>
      </c>
      <c r="H208" s="24" t="s">
        <v>108</v>
      </c>
      <c r="I208" s="24" t="s">
        <v>1363</v>
      </c>
      <c r="J208" s="24" t="s">
        <v>108</v>
      </c>
      <c r="K208" s="24" t="s">
        <v>1364</v>
      </c>
      <c r="L208" s="27" t="s">
        <v>1365</v>
      </c>
      <c r="M208" s="28" t="s">
        <v>14</v>
      </c>
      <c r="N208" s="27" t="s">
        <v>111</v>
      </c>
      <c r="O208" s="27" t="s">
        <v>112</v>
      </c>
      <c r="P208" s="29" t="s">
        <v>113</v>
      </c>
      <c r="Q208" s="27" t="s">
        <v>121</v>
      </c>
    </row>
    <row r="209" spans="1:17" x14ac:dyDescent="0.25">
      <c r="A209" s="30" t="s">
        <v>1366</v>
      </c>
      <c r="B209" s="27" t="s">
        <v>48</v>
      </c>
      <c r="C209" s="27" t="s">
        <v>1367</v>
      </c>
      <c r="D209" s="27" t="s">
        <v>193</v>
      </c>
      <c r="E209" s="28" t="s">
        <v>103</v>
      </c>
      <c r="F209" s="33" t="s">
        <v>134</v>
      </c>
      <c r="G209" s="27" t="s">
        <v>1368</v>
      </c>
      <c r="H209" s="27" t="s">
        <v>1369</v>
      </c>
      <c r="I209" s="27" t="s">
        <v>1370</v>
      </c>
      <c r="J209" s="27" t="s">
        <v>108</v>
      </c>
      <c r="K209" s="27" t="s">
        <v>1371</v>
      </c>
      <c r="L209" s="27" t="s">
        <v>1372</v>
      </c>
      <c r="M209" s="28" t="s">
        <v>14</v>
      </c>
      <c r="N209" s="27" t="s">
        <v>111</v>
      </c>
      <c r="O209" s="27" t="s">
        <v>112</v>
      </c>
      <c r="P209" s="29" t="s">
        <v>113</v>
      </c>
      <c r="Q209" s="27" t="s">
        <v>121</v>
      </c>
    </row>
    <row r="210" spans="1:17" x14ac:dyDescent="0.25">
      <c r="A210" s="23" t="s">
        <v>1373</v>
      </c>
      <c r="B210" s="24" t="s">
        <v>48</v>
      </c>
      <c r="C210" s="24" t="s">
        <v>1090</v>
      </c>
      <c r="D210" s="24" t="s">
        <v>193</v>
      </c>
      <c r="E210" s="25" t="s">
        <v>103</v>
      </c>
      <c r="F210" s="26" t="s">
        <v>104</v>
      </c>
      <c r="G210" s="24" t="s">
        <v>1374</v>
      </c>
      <c r="H210" s="24" t="s">
        <v>108</v>
      </c>
      <c r="I210" s="24" t="s">
        <v>1375</v>
      </c>
      <c r="J210" s="24" t="s">
        <v>108</v>
      </c>
      <c r="K210" s="24" t="s">
        <v>1376</v>
      </c>
      <c r="L210" s="27" t="s">
        <v>1377</v>
      </c>
      <c r="M210" s="28" t="s">
        <v>14</v>
      </c>
      <c r="N210" s="27" t="s">
        <v>111</v>
      </c>
      <c r="O210" s="27" t="s">
        <v>112</v>
      </c>
      <c r="P210" s="29" t="s">
        <v>113</v>
      </c>
      <c r="Q210" s="27" t="s">
        <v>121</v>
      </c>
    </row>
    <row r="211" spans="1:17" x14ac:dyDescent="0.25">
      <c r="A211" s="30" t="s">
        <v>1378</v>
      </c>
      <c r="B211" s="27" t="s">
        <v>48</v>
      </c>
      <c r="C211" s="27" t="s">
        <v>757</v>
      </c>
      <c r="D211" s="27" t="s">
        <v>193</v>
      </c>
      <c r="E211" s="28" t="s">
        <v>103</v>
      </c>
      <c r="F211" s="33" t="s">
        <v>134</v>
      </c>
      <c r="G211" s="27" t="s">
        <v>1379</v>
      </c>
      <c r="H211" s="27" t="s">
        <v>759</v>
      </c>
      <c r="I211" s="27" t="s">
        <v>1380</v>
      </c>
      <c r="J211" s="27" t="s">
        <v>108</v>
      </c>
      <c r="K211" s="27" t="s">
        <v>1381</v>
      </c>
      <c r="L211" s="27" t="s">
        <v>1382</v>
      </c>
      <c r="M211" s="28" t="s">
        <v>14</v>
      </c>
      <c r="N211" s="27" t="s">
        <v>111</v>
      </c>
      <c r="O211" s="27" t="s">
        <v>112</v>
      </c>
      <c r="P211" s="29" t="s">
        <v>113</v>
      </c>
      <c r="Q211" s="27" t="s">
        <v>121</v>
      </c>
    </row>
    <row r="212" spans="1:17" x14ac:dyDescent="0.25">
      <c r="A212" s="23" t="s">
        <v>1383</v>
      </c>
      <c r="B212" s="24" t="s">
        <v>49</v>
      </c>
      <c r="C212" s="24" t="s">
        <v>771</v>
      </c>
      <c r="D212" s="24" t="s">
        <v>234</v>
      </c>
      <c r="E212" s="25" t="s">
        <v>103</v>
      </c>
      <c r="F212" s="37" t="s">
        <v>194</v>
      </c>
      <c r="G212" s="24" t="s">
        <v>1384</v>
      </c>
      <c r="H212" s="24" t="s">
        <v>1035</v>
      </c>
      <c r="I212" s="24" t="s">
        <v>1385</v>
      </c>
      <c r="J212" s="24" t="s">
        <v>108</v>
      </c>
      <c r="K212" s="24" t="s">
        <v>1386</v>
      </c>
      <c r="L212" s="27" t="s">
        <v>1387</v>
      </c>
      <c r="M212" s="28" t="s">
        <v>14</v>
      </c>
      <c r="N212" s="27" t="s">
        <v>111</v>
      </c>
      <c r="O212" s="27" t="s">
        <v>112</v>
      </c>
      <c r="P212" s="29" t="s">
        <v>113</v>
      </c>
      <c r="Q212" s="27" t="s">
        <v>121</v>
      </c>
    </row>
    <row r="213" spans="1:17" x14ac:dyDescent="0.25">
      <c r="A213" s="30" t="s">
        <v>1388</v>
      </c>
      <c r="B213" s="27" t="s">
        <v>49</v>
      </c>
      <c r="C213" s="27" t="s">
        <v>703</v>
      </c>
      <c r="D213" s="27" t="s">
        <v>234</v>
      </c>
      <c r="E213" s="28" t="s">
        <v>103</v>
      </c>
      <c r="F213" s="31" t="s">
        <v>116</v>
      </c>
      <c r="G213" s="27" t="s">
        <v>1389</v>
      </c>
      <c r="H213" s="27" t="s">
        <v>108</v>
      </c>
      <c r="I213" s="27" t="s">
        <v>1390</v>
      </c>
      <c r="J213" s="27" t="s">
        <v>108</v>
      </c>
      <c r="K213" s="27" t="s">
        <v>1391</v>
      </c>
      <c r="L213" s="27" t="s">
        <v>1392</v>
      </c>
      <c r="M213" s="28" t="s">
        <v>14</v>
      </c>
      <c r="N213" s="27" t="s">
        <v>111</v>
      </c>
      <c r="O213" s="27" t="s">
        <v>112</v>
      </c>
      <c r="P213" s="29" t="s">
        <v>113</v>
      </c>
      <c r="Q213" s="27" t="s">
        <v>121</v>
      </c>
    </row>
    <row r="214" spans="1:17" x14ac:dyDescent="0.25">
      <c r="A214" s="23" t="s">
        <v>1393</v>
      </c>
      <c r="B214" s="24" t="s">
        <v>49</v>
      </c>
      <c r="C214" s="24" t="s">
        <v>790</v>
      </c>
      <c r="D214" s="24" t="s">
        <v>234</v>
      </c>
      <c r="E214" s="25" t="s">
        <v>103</v>
      </c>
      <c r="F214" s="34" t="s">
        <v>116</v>
      </c>
      <c r="G214" s="24" t="s">
        <v>1394</v>
      </c>
      <c r="H214" s="24" t="s">
        <v>108</v>
      </c>
      <c r="I214" s="24" t="s">
        <v>1395</v>
      </c>
      <c r="J214" s="24" t="s">
        <v>108</v>
      </c>
      <c r="K214" s="24" t="s">
        <v>1396</v>
      </c>
      <c r="L214" s="27" t="s">
        <v>1397</v>
      </c>
      <c r="M214" s="28" t="s">
        <v>14</v>
      </c>
      <c r="N214" s="27" t="s">
        <v>111</v>
      </c>
      <c r="O214" s="27" t="s">
        <v>112</v>
      </c>
      <c r="P214" s="29" t="s">
        <v>113</v>
      </c>
      <c r="Q214" s="27" t="s">
        <v>121</v>
      </c>
    </row>
    <row r="215" spans="1:17" x14ac:dyDescent="0.25">
      <c r="A215" s="30" t="s">
        <v>1398</v>
      </c>
      <c r="B215" s="27" t="s">
        <v>49</v>
      </c>
      <c r="C215" s="27" t="s">
        <v>1399</v>
      </c>
      <c r="D215" s="27" t="s">
        <v>234</v>
      </c>
      <c r="E215" s="28" t="s">
        <v>103</v>
      </c>
      <c r="F215" s="33" t="s">
        <v>134</v>
      </c>
      <c r="G215" s="27" t="s">
        <v>1400</v>
      </c>
      <c r="H215" s="27" t="s">
        <v>1401</v>
      </c>
      <c r="I215" s="27" t="s">
        <v>1402</v>
      </c>
      <c r="J215" s="27" t="s">
        <v>108</v>
      </c>
      <c r="K215" s="27" t="s">
        <v>1403</v>
      </c>
      <c r="L215" s="27" t="s">
        <v>1404</v>
      </c>
      <c r="M215" s="28" t="s">
        <v>14</v>
      </c>
      <c r="N215" s="27" t="s">
        <v>111</v>
      </c>
      <c r="O215" s="27" t="s">
        <v>112</v>
      </c>
      <c r="P215" s="29" t="s">
        <v>113</v>
      </c>
      <c r="Q215" s="27" t="s">
        <v>121</v>
      </c>
    </row>
    <row r="216" spans="1:17" x14ac:dyDescent="0.25">
      <c r="A216" s="23" t="s">
        <v>1405</v>
      </c>
      <c r="B216" s="24" t="s">
        <v>49</v>
      </c>
      <c r="C216" s="24" t="s">
        <v>95</v>
      </c>
      <c r="D216" s="24" t="s">
        <v>234</v>
      </c>
      <c r="E216" s="25" t="s">
        <v>103</v>
      </c>
      <c r="F216" s="26" t="s">
        <v>104</v>
      </c>
      <c r="G216" s="24" t="s">
        <v>1406</v>
      </c>
      <c r="H216" s="24" t="s">
        <v>108</v>
      </c>
      <c r="I216" s="24" t="s">
        <v>1407</v>
      </c>
      <c r="J216" s="24" t="s">
        <v>108</v>
      </c>
      <c r="K216" s="24" t="s">
        <v>1408</v>
      </c>
      <c r="L216" s="27" t="s">
        <v>1409</v>
      </c>
      <c r="M216" s="28" t="s">
        <v>14</v>
      </c>
      <c r="N216" s="27" t="s">
        <v>111</v>
      </c>
      <c r="O216" s="27" t="s">
        <v>112</v>
      </c>
      <c r="P216" s="29" t="s">
        <v>113</v>
      </c>
      <c r="Q216" s="27" t="s">
        <v>121</v>
      </c>
    </row>
    <row r="217" spans="1:17" x14ac:dyDescent="0.25">
      <c r="A217" s="30" t="s">
        <v>1410</v>
      </c>
      <c r="B217" s="27" t="s">
        <v>49</v>
      </c>
      <c r="C217" s="27" t="s">
        <v>1411</v>
      </c>
      <c r="D217" s="27" t="s">
        <v>234</v>
      </c>
      <c r="E217" s="28" t="s">
        <v>141</v>
      </c>
      <c r="F217" s="31" t="s">
        <v>116</v>
      </c>
      <c r="G217" s="27" t="s">
        <v>1412</v>
      </c>
      <c r="H217" s="27" t="s">
        <v>1413</v>
      </c>
      <c r="I217" s="27" t="s">
        <v>1414</v>
      </c>
      <c r="J217" s="27" t="s">
        <v>108</v>
      </c>
      <c r="K217" s="27" t="s">
        <v>1415</v>
      </c>
      <c r="L217" s="27" t="s">
        <v>1416</v>
      </c>
      <c r="M217" s="28" t="s">
        <v>14</v>
      </c>
      <c r="N217" s="27" t="s">
        <v>111</v>
      </c>
      <c r="O217" s="27" t="s">
        <v>112</v>
      </c>
      <c r="P217" s="29" t="s">
        <v>113</v>
      </c>
      <c r="Q217" s="27" t="s">
        <v>121</v>
      </c>
    </row>
    <row r="218" spans="1:17" x14ac:dyDescent="0.25">
      <c r="A218" s="23" t="s">
        <v>1417</v>
      </c>
      <c r="B218" s="24" t="s">
        <v>49</v>
      </c>
      <c r="C218" s="24" t="s">
        <v>765</v>
      </c>
      <c r="D218" s="24" t="s">
        <v>234</v>
      </c>
      <c r="E218" s="25" t="s">
        <v>141</v>
      </c>
      <c r="F218" s="32" t="s">
        <v>134</v>
      </c>
      <c r="G218" s="24" t="s">
        <v>1418</v>
      </c>
      <c r="H218" s="24" t="s">
        <v>1419</v>
      </c>
      <c r="I218" s="24" t="s">
        <v>1385</v>
      </c>
      <c r="J218" s="24" t="s">
        <v>108</v>
      </c>
      <c r="K218" s="24" t="s">
        <v>1420</v>
      </c>
      <c r="L218" s="27" t="s">
        <v>1421</v>
      </c>
      <c r="M218" s="28" t="s">
        <v>14</v>
      </c>
      <c r="N218" s="27" t="s">
        <v>111</v>
      </c>
      <c r="O218" s="27" t="s">
        <v>112</v>
      </c>
      <c r="P218" s="29" t="s">
        <v>113</v>
      </c>
      <c r="Q218" s="27" t="s">
        <v>121</v>
      </c>
    </row>
    <row r="219" spans="1:17" x14ac:dyDescent="0.25">
      <c r="A219" s="30" t="s">
        <v>1422</v>
      </c>
      <c r="B219" s="27" t="s">
        <v>50</v>
      </c>
      <c r="C219" s="27" t="s">
        <v>1423</v>
      </c>
      <c r="D219" s="27" t="s">
        <v>133</v>
      </c>
      <c r="E219" s="28" t="s">
        <v>103</v>
      </c>
      <c r="F219" s="36" t="s">
        <v>104</v>
      </c>
      <c r="G219" s="27" t="s">
        <v>1424</v>
      </c>
      <c r="H219" s="27" t="s">
        <v>507</v>
      </c>
      <c r="I219" s="27" t="s">
        <v>1425</v>
      </c>
      <c r="J219" s="27" t="s">
        <v>108</v>
      </c>
      <c r="K219" s="27" t="s">
        <v>1426</v>
      </c>
      <c r="L219" s="27" t="s">
        <v>1427</v>
      </c>
      <c r="M219" s="28" t="s">
        <v>14</v>
      </c>
      <c r="N219" s="27" t="s">
        <v>111</v>
      </c>
      <c r="O219" s="27" t="s">
        <v>112</v>
      </c>
      <c r="P219" s="29" t="s">
        <v>113</v>
      </c>
      <c r="Q219" s="27" t="s">
        <v>121</v>
      </c>
    </row>
    <row r="220" spans="1:17" x14ac:dyDescent="0.25">
      <c r="A220" s="23" t="s">
        <v>1428</v>
      </c>
      <c r="B220" s="24" t="s">
        <v>50</v>
      </c>
      <c r="C220" s="24" t="s">
        <v>1429</v>
      </c>
      <c r="D220" s="24" t="s">
        <v>133</v>
      </c>
      <c r="E220" s="25" t="s">
        <v>103</v>
      </c>
      <c r="F220" s="37" t="s">
        <v>194</v>
      </c>
      <c r="G220" s="24" t="s">
        <v>1430</v>
      </c>
      <c r="H220" s="24" t="s">
        <v>108</v>
      </c>
      <c r="I220" s="24" t="s">
        <v>1431</v>
      </c>
      <c r="J220" s="24" t="s">
        <v>1432</v>
      </c>
      <c r="K220" s="24" t="s">
        <v>1433</v>
      </c>
      <c r="L220" s="27" t="s">
        <v>1434</v>
      </c>
      <c r="M220" s="28" t="s">
        <v>14</v>
      </c>
      <c r="N220" s="27" t="s">
        <v>111</v>
      </c>
      <c r="O220" s="27" t="s">
        <v>112</v>
      </c>
      <c r="P220" s="29" t="s">
        <v>113</v>
      </c>
      <c r="Q220" s="27" t="s">
        <v>121</v>
      </c>
    </row>
    <row r="221" spans="1:17" x14ac:dyDescent="0.25">
      <c r="A221" s="30" t="s">
        <v>1435</v>
      </c>
      <c r="B221" s="27" t="s">
        <v>50</v>
      </c>
      <c r="C221" s="27" t="s">
        <v>1429</v>
      </c>
      <c r="D221" s="27" t="s">
        <v>133</v>
      </c>
      <c r="E221" s="28" t="s">
        <v>167</v>
      </c>
      <c r="F221" s="36" t="s">
        <v>104</v>
      </c>
      <c r="G221" s="27" t="s">
        <v>1436</v>
      </c>
      <c r="H221" s="27" t="s">
        <v>108</v>
      </c>
      <c r="I221" s="27" t="s">
        <v>1437</v>
      </c>
      <c r="J221" s="27" t="s">
        <v>108</v>
      </c>
      <c r="K221" s="27" t="s">
        <v>1438</v>
      </c>
      <c r="L221" s="27" t="s">
        <v>1439</v>
      </c>
      <c r="M221" s="28" t="s">
        <v>14</v>
      </c>
      <c r="N221" s="27" t="s">
        <v>111</v>
      </c>
      <c r="O221" s="27" t="s">
        <v>112</v>
      </c>
      <c r="P221" s="29" t="s">
        <v>113</v>
      </c>
      <c r="Q221" s="27" t="s">
        <v>121</v>
      </c>
    </row>
    <row r="222" spans="1:17" x14ac:dyDescent="0.25">
      <c r="A222" s="23" t="s">
        <v>1440</v>
      </c>
      <c r="B222" s="24" t="s">
        <v>50</v>
      </c>
      <c r="C222" s="24" t="s">
        <v>1429</v>
      </c>
      <c r="D222" s="24" t="s">
        <v>133</v>
      </c>
      <c r="E222" s="25" t="s">
        <v>103</v>
      </c>
      <c r="F222" s="34" t="s">
        <v>116</v>
      </c>
      <c r="G222" s="24" t="s">
        <v>1441</v>
      </c>
      <c r="H222" s="24" t="s">
        <v>108</v>
      </c>
      <c r="I222" s="24" t="s">
        <v>1442</v>
      </c>
      <c r="J222" s="24" t="s">
        <v>108</v>
      </c>
      <c r="K222" s="24" t="s">
        <v>1443</v>
      </c>
      <c r="L222" s="27" t="s">
        <v>1444</v>
      </c>
      <c r="M222" s="28" t="s">
        <v>14</v>
      </c>
      <c r="N222" s="27" t="s">
        <v>111</v>
      </c>
      <c r="O222" s="27" t="s">
        <v>112</v>
      </c>
      <c r="P222" s="29" t="s">
        <v>113</v>
      </c>
      <c r="Q222" s="27" t="s">
        <v>121</v>
      </c>
    </row>
    <row r="223" spans="1:17" x14ac:dyDescent="0.25">
      <c r="A223" s="30" t="s">
        <v>1445</v>
      </c>
      <c r="B223" s="27" t="s">
        <v>50</v>
      </c>
      <c r="C223" s="27" t="s">
        <v>1429</v>
      </c>
      <c r="D223" s="27" t="s">
        <v>133</v>
      </c>
      <c r="E223" s="28" t="s">
        <v>103</v>
      </c>
      <c r="F223" s="33" t="s">
        <v>134</v>
      </c>
      <c r="G223" s="27" t="s">
        <v>1446</v>
      </c>
      <c r="H223" s="27" t="s">
        <v>108</v>
      </c>
      <c r="I223" s="27" t="s">
        <v>1447</v>
      </c>
      <c r="J223" s="27" t="s">
        <v>108</v>
      </c>
      <c r="K223" s="27" t="s">
        <v>1448</v>
      </c>
      <c r="L223" s="27" t="s">
        <v>1449</v>
      </c>
      <c r="M223" s="28" t="s">
        <v>14</v>
      </c>
      <c r="N223" s="27" t="s">
        <v>111</v>
      </c>
      <c r="O223" s="27" t="s">
        <v>112</v>
      </c>
      <c r="P223" s="29" t="s">
        <v>113</v>
      </c>
      <c r="Q223" s="27" t="s">
        <v>121</v>
      </c>
    </row>
    <row r="224" spans="1:17" x14ac:dyDescent="0.25">
      <c r="A224" s="23" t="s">
        <v>1450</v>
      </c>
      <c r="B224" s="24" t="s">
        <v>50</v>
      </c>
      <c r="C224" s="24" t="s">
        <v>866</v>
      </c>
      <c r="D224" s="24" t="s">
        <v>133</v>
      </c>
      <c r="E224" s="25" t="s">
        <v>103</v>
      </c>
      <c r="F224" s="26" t="s">
        <v>104</v>
      </c>
      <c r="G224" s="24" t="s">
        <v>1451</v>
      </c>
      <c r="H224" s="24" t="s">
        <v>1217</v>
      </c>
      <c r="I224" s="24" t="s">
        <v>1452</v>
      </c>
      <c r="J224" s="24" t="s">
        <v>1453</v>
      </c>
      <c r="K224" s="24" t="s">
        <v>1454</v>
      </c>
      <c r="L224" s="27" t="s">
        <v>1455</v>
      </c>
      <c r="M224" s="28" t="s">
        <v>14</v>
      </c>
      <c r="N224" s="27" t="s">
        <v>111</v>
      </c>
      <c r="O224" s="27" t="s">
        <v>112</v>
      </c>
      <c r="P224" s="29" t="s">
        <v>113</v>
      </c>
      <c r="Q224" s="27" t="s">
        <v>121</v>
      </c>
    </row>
    <row r="225" spans="1:17" x14ac:dyDescent="0.25">
      <c r="A225" s="30" t="s">
        <v>1456</v>
      </c>
      <c r="B225" s="27" t="s">
        <v>50</v>
      </c>
      <c r="C225" s="27" t="s">
        <v>917</v>
      </c>
      <c r="D225" s="27" t="s">
        <v>133</v>
      </c>
      <c r="E225" s="28" t="s">
        <v>103</v>
      </c>
      <c r="F225" s="36" t="s">
        <v>104</v>
      </c>
      <c r="G225" s="27" t="s">
        <v>1457</v>
      </c>
      <c r="H225" s="27" t="s">
        <v>1217</v>
      </c>
      <c r="I225" s="27" t="s">
        <v>1458</v>
      </c>
      <c r="J225" s="27" t="s">
        <v>108</v>
      </c>
      <c r="K225" s="27" t="s">
        <v>1459</v>
      </c>
      <c r="L225" s="27" t="s">
        <v>1460</v>
      </c>
      <c r="M225" s="28" t="s">
        <v>14</v>
      </c>
      <c r="N225" s="27" t="s">
        <v>111</v>
      </c>
      <c r="O225" s="27" t="s">
        <v>112</v>
      </c>
      <c r="P225" s="29" t="s">
        <v>113</v>
      </c>
      <c r="Q225" s="27" t="s">
        <v>121</v>
      </c>
    </row>
    <row r="226" spans="1:17" x14ac:dyDescent="0.25">
      <c r="A226" s="23" t="s">
        <v>1461</v>
      </c>
      <c r="B226" s="24" t="s">
        <v>50</v>
      </c>
      <c r="C226" s="24" t="s">
        <v>917</v>
      </c>
      <c r="D226" s="24" t="s">
        <v>133</v>
      </c>
      <c r="E226" s="25" t="s">
        <v>103</v>
      </c>
      <c r="F226" s="32" t="s">
        <v>134</v>
      </c>
      <c r="G226" s="24" t="s">
        <v>1462</v>
      </c>
      <c r="H226" s="24" t="s">
        <v>108</v>
      </c>
      <c r="I226" s="24" t="s">
        <v>925</v>
      </c>
      <c r="J226" s="24" t="s">
        <v>108</v>
      </c>
      <c r="K226" s="24" t="s">
        <v>1463</v>
      </c>
      <c r="L226" s="27" t="s">
        <v>1464</v>
      </c>
      <c r="M226" s="28" t="s">
        <v>14</v>
      </c>
      <c r="N226" s="27" t="s">
        <v>111</v>
      </c>
      <c r="O226" s="27" t="s">
        <v>112</v>
      </c>
      <c r="P226" s="29" t="s">
        <v>113</v>
      </c>
      <c r="Q226" s="27" t="s">
        <v>121</v>
      </c>
    </row>
    <row r="227" spans="1:17" x14ac:dyDescent="0.25">
      <c r="A227" s="30" t="s">
        <v>1465</v>
      </c>
      <c r="B227" s="27" t="s">
        <v>50</v>
      </c>
      <c r="C227" s="27" t="s">
        <v>1466</v>
      </c>
      <c r="D227" s="27" t="s">
        <v>133</v>
      </c>
      <c r="E227" s="28" t="s">
        <v>103</v>
      </c>
      <c r="F227" s="35" t="s">
        <v>194</v>
      </c>
      <c r="G227" s="27" t="s">
        <v>1467</v>
      </c>
      <c r="H227" s="27" t="s">
        <v>1468</v>
      </c>
      <c r="I227" s="27" t="s">
        <v>1469</v>
      </c>
      <c r="J227" s="27" t="s">
        <v>108</v>
      </c>
      <c r="K227" s="27" t="s">
        <v>1470</v>
      </c>
      <c r="L227" s="27" t="s">
        <v>1471</v>
      </c>
      <c r="M227" s="28" t="s">
        <v>14</v>
      </c>
      <c r="N227" s="27" t="s">
        <v>111</v>
      </c>
      <c r="O227" s="27" t="s">
        <v>112</v>
      </c>
      <c r="P227" s="29" t="s">
        <v>113</v>
      </c>
      <c r="Q227" s="27" t="s">
        <v>121</v>
      </c>
    </row>
    <row r="228" spans="1:17" x14ac:dyDescent="0.25">
      <c r="A228" s="23" t="s">
        <v>1472</v>
      </c>
      <c r="B228" s="24" t="s">
        <v>50</v>
      </c>
      <c r="C228" s="24" t="s">
        <v>1466</v>
      </c>
      <c r="D228" s="24" t="s">
        <v>133</v>
      </c>
      <c r="E228" s="25" t="s">
        <v>103</v>
      </c>
      <c r="F228" s="37" t="s">
        <v>194</v>
      </c>
      <c r="G228" s="24" t="s">
        <v>1473</v>
      </c>
      <c r="H228" s="24" t="s">
        <v>108</v>
      </c>
      <c r="I228" s="24" t="s">
        <v>1474</v>
      </c>
      <c r="J228" s="24" t="s">
        <v>108</v>
      </c>
      <c r="K228" s="24" t="s">
        <v>1475</v>
      </c>
      <c r="L228" s="27" t="s">
        <v>1476</v>
      </c>
      <c r="M228" s="28" t="s">
        <v>14</v>
      </c>
      <c r="N228" s="27" t="s">
        <v>111</v>
      </c>
      <c r="O228" s="27" t="s">
        <v>112</v>
      </c>
      <c r="P228" s="29" t="s">
        <v>113</v>
      </c>
      <c r="Q228" s="27" t="s">
        <v>121</v>
      </c>
    </row>
    <row r="229" spans="1:17" x14ac:dyDescent="0.25">
      <c r="A229" s="30" t="s">
        <v>1477</v>
      </c>
      <c r="B229" s="27" t="s">
        <v>50</v>
      </c>
      <c r="C229" s="27" t="s">
        <v>1466</v>
      </c>
      <c r="D229" s="27" t="s">
        <v>133</v>
      </c>
      <c r="E229" s="28" t="s">
        <v>167</v>
      </c>
      <c r="F229" s="33" t="s">
        <v>134</v>
      </c>
      <c r="G229" s="27" t="s">
        <v>1478</v>
      </c>
      <c r="H229" s="27" t="s">
        <v>108</v>
      </c>
      <c r="I229" s="27" t="s">
        <v>1479</v>
      </c>
      <c r="J229" s="27" t="s">
        <v>108</v>
      </c>
      <c r="K229" s="27" t="s">
        <v>1480</v>
      </c>
      <c r="L229" s="27" t="s">
        <v>1481</v>
      </c>
      <c r="M229" s="28" t="s">
        <v>14</v>
      </c>
      <c r="N229" s="27" t="s">
        <v>111</v>
      </c>
      <c r="O229" s="27" t="s">
        <v>112</v>
      </c>
      <c r="P229" s="29" t="s">
        <v>113</v>
      </c>
      <c r="Q229" s="27" t="s">
        <v>121</v>
      </c>
    </row>
    <row r="230" spans="1:17" x14ac:dyDescent="0.25">
      <c r="A230" s="23" t="s">
        <v>1482</v>
      </c>
      <c r="B230" s="24" t="s">
        <v>50</v>
      </c>
      <c r="C230" s="24" t="s">
        <v>722</v>
      </c>
      <c r="D230" s="24" t="s">
        <v>133</v>
      </c>
      <c r="E230" s="25" t="s">
        <v>103</v>
      </c>
      <c r="F230" s="26" t="s">
        <v>104</v>
      </c>
      <c r="G230" s="24" t="s">
        <v>1483</v>
      </c>
      <c r="H230" s="24" t="s">
        <v>108</v>
      </c>
      <c r="I230" s="24" t="s">
        <v>1484</v>
      </c>
      <c r="J230" s="24" t="s">
        <v>108</v>
      </c>
      <c r="K230" s="24" t="s">
        <v>1485</v>
      </c>
      <c r="L230" s="27" t="s">
        <v>1486</v>
      </c>
      <c r="M230" s="28" t="s">
        <v>14</v>
      </c>
      <c r="N230" s="27" t="s">
        <v>111</v>
      </c>
      <c r="O230" s="27" t="s">
        <v>112</v>
      </c>
      <c r="P230" s="29" t="s">
        <v>113</v>
      </c>
      <c r="Q230" s="27" t="s">
        <v>121</v>
      </c>
    </row>
    <row r="231" spans="1:17" x14ac:dyDescent="0.25">
      <c r="A231" s="30" t="s">
        <v>1487</v>
      </c>
      <c r="B231" s="27" t="s">
        <v>50</v>
      </c>
      <c r="C231" s="27" t="s">
        <v>722</v>
      </c>
      <c r="D231" s="27" t="s">
        <v>133</v>
      </c>
      <c r="E231" s="28" t="s">
        <v>103</v>
      </c>
      <c r="F231" s="35" t="s">
        <v>194</v>
      </c>
      <c r="G231" s="27" t="s">
        <v>1488</v>
      </c>
      <c r="H231" s="27" t="s">
        <v>1489</v>
      </c>
      <c r="I231" s="27" t="s">
        <v>1490</v>
      </c>
      <c r="J231" s="27" t="s">
        <v>108</v>
      </c>
      <c r="K231" s="27" t="s">
        <v>1491</v>
      </c>
      <c r="L231" s="27" t="s">
        <v>1492</v>
      </c>
      <c r="M231" s="28" t="s">
        <v>14</v>
      </c>
      <c r="N231" s="27" t="s">
        <v>111</v>
      </c>
      <c r="O231" s="27" t="s">
        <v>112</v>
      </c>
      <c r="P231" s="29" t="s">
        <v>113</v>
      </c>
      <c r="Q231" s="27" t="s">
        <v>121</v>
      </c>
    </row>
    <row r="232" spans="1:17" x14ac:dyDescent="0.25">
      <c r="A232" s="23" t="s">
        <v>1493</v>
      </c>
      <c r="B232" s="24" t="s">
        <v>50</v>
      </c>
      <c r="C232" s="24" t="s">
        <v>722</v>
      </c>
      <c r="D232" s="24" t="s">
        <v>133</v>
      </c>
      <c r="E232" s="25" t="s">
        <v>103</v>
      </c>
      <c r="F232" s="37" t="s">
        <v>194</v>
      </c>
      <c r="G232" s="24" t="s">
        <v>1494</v>
      </c>
      <c r="H232" s="24" t="s">
        <v>1495</v>
      </c>
      <c r="I232" s="24" t="s">
        <v>1496</v>
      </c>
      <c r="J232" s="24" t="s">
        <v>108</v>
      </c>
      <c r="K232" s="24" t="s">
        <v>1497</v>
      </c>
      <c r="L232" s="27" t="s">
        <v>1498</v>
      </c>
      <c r="M232" s="28" t="s">
        <v>14</v>
      </c>
      <c r="N232" s="27" t="s">
        <v>111</v>
      </c>
      <c r="O232" s="27" t="s">
        <v>112</v>
      </c>
      <c r="P232" s="29" t="s">
        <v>113</v>
      </c>
      <c r="Q232" s="27" t="s">
        <v>121</v>
      </c>
    </row>
    <row r="233" spans="1:17" x14ac:dyDescent="0.25">
      <c r="A233" s="30" t="s">
        <v>1499</v>
      </c>
      <c r="B233" s="27" t="s">
        <v>50</v>
      </c>
      <c r="C233" s="27" t="s">
        <v>722</v>
      </c>
      <c r="D233" s="27" t="s">
        <v>133</v>
      </c>
      <c r="E233" s="28" t="s">
        <v>103</v>
      </c>
      <c r="F233" s="36" t="s">
        <v>104</v>
      </c>
      <c r="G233" s="27" t="s">
        <v>1500</v>
      </c>
      <c r="H233" s="27" t="s">
        <v>1495</v>
      </c>
      <c r="I233" s="27" t="s">
        <v>1501</v>
      </c>
      <c r="J233" s="27" t="s">
        <v>108</v>
      </c>
      <c r="K233" s="27" t="s">
        <v>1502</v>
      </c>
      <c r="L233" s="27" t="s">
        <v>1503</v>
      </c>
      <c r="M233" s="28" t="s">
        <v>14</v>
      </c>
      <c r="N233" s="27" t="s">
        <v>111</v>
      </c>
      <c r="O233" s="27" t="s">
        <v>112</v>
      </c>
      <c r="P233" s="29" t="s">
        <v>113</v>
      </c>
      <c r="Q233" s="27" t="s">
        <v>121</v>
      </c>
    </row>
    <row r="234" spans="1:17" x14ac:dyDescent="0.25">
      <c r="A234" s="23" t="s">
        <v>1504</v>
      </c>
      <c r="B234" s="24" t="s">
        <v>50</v>
      </c>
      <c r="C234" s="24" t="s">
        <v>722</v>
      </c>
      <c r="D234" s="24" t="s">
        <v>133</v>
      </c>
      <c r="E234" s="25" t="s">
        <v>103</v>
      </c>
      <c r="F234" s="34" t="s">
        <v>116</v>
      </c>
      <c r="G234" s="24" t="s">
        <v>1505</v>
      </c>
      <c r="H234" s="24" t="s">
        <v>108</v>
      </c>
      <c r="I234" s="24" t="s">
        <v>1506</v>
      </c>
      <c r="J234" s="24" t="s">
        <v>108</v>
      </c>
      <c r="K234" s="24" t="s">
        <v>1507</v>
      </c>
      <c r="L234" s="27" t="s">
        <v>1508</v>
      </c>
      <c r="M234" s="28" t="s">
        <v>14</v>
      </c>
      <c r="N234" s="27" t="s">
        <v>111</v>
      </c>
      <c r="O234" s="27" t="s">
        <v>112</v>
      </c>
      <c r="P234" s="29" t="s">
        <v>113</v>
      </c>
      <c r="Q234" s="27" t="s">
        <v>121</v>
      </c>
    </row>
    <row r="235" spans="1:17" x14ac:dyDescent="0.25">
      <c r="A235" s="30" t="s">
        <v>1509</v>
      </c>
      <c r="B235" s="27" t="s">
        <v>50</v>
      </c>
      <c r="C235" s="27" t="s">
        <v>722</v>
      </c>
      <c r="D235" s="27" t="s">
        <v>133</v>
      </c>
      <c r="E235" s="28" t="s">
        <v>141</v>
      </c>
      <c r="F235" s="31" t="s">
        <v>116</v>
      </c>
      <c r="G235" s="27" t="s">
        <v>1510</v>
      </c>
      <c r="H235" s="27" t="s">
        <v>1511</v>
      </c>
      <c r="I235" s="27" t="s">
        <v>1512</v>
      </c>
      <c r="J235" s="27" t="s">
        <v>108</v>
      </c>
      <c r="K235" s="27" t="s">
        <v>1513</v>
      </c>
      <c r="L235" s="27" t="s">
        <v>1514</v>
      </c>
      <c r="M235" s="28" t="s">
        <v>14</v>
      </c>
      <c r="N235" s="27" t="s">
        <v>111</v>
      </c>
      <c r="O235" s="27" t="s">
        <v>112</v>
      </c>
      <c r="P235" s="29" t="s">
        <v>113</v>
      </c>
      <c r="Q235" s="27" t="s">
        <v>121</v>
      </c>
    </row>
    <row r="236" spans="1:17" x14ac:dyDescent="0.25">
      <c r="A236" s="23" t="s">
        <v>1515</v>
      </c>
      <c r="B236" s="24" t="s">
        <v>50</v>
      </c>
      <c r="C236" s="24" t="s">
        <v>722</v>
      </c>
      <c r="D236" s="24" t="s">
        <v>133</v>
      </c>
      <c r="E236" s="25" t="s">
        <v>103</v>
      </c>
      <c r="F236" s="26" t="s">
        <v>104</v>
      </c>
      <c r="G236" s="24" t="s">
        <v>1516</v>
      </c>
      <c r="H236" s="24" t="s">
        <v>108</v>
      </c>
      <c r="I236" s="24" t="s">
        <v>1517</v>
      </c>
      <c r="J236" s="24" t="s">
        <v>108</v>
      </c>
      <c r="K236" s="24" t="s">
        <v>1518</v>
      </c>
      <c r="L236" s="27" t="s">
        <v>1519</v>
      </c>
      <c r="M236" s="28" t="s">
        <v>14</v>
      </c>
      <c r="N236" s="27" t="s">
        <v>111</v>
      </c>
      <c r="O236" s="27" t="s">
        <v>112</v>
      </c>
      <c r="P236" s="29" t="s">
        <v>113</v>
      </c>
      <c r="Q236" s="27" t="s">
        <v>121</v>
      </c>
    </row>
    <row r="237" spans="1:17" x14ac:dyDescent="0.25">
      <c r="A237" s="30" t="s">
        <v>1520</v>
      </c>
      <c r="B237" s="27" t="s">
        <v>50</v>
      </c>
      <c r="C237" s="27" t="s">
        <v>722</v>
      </c>
      <c r="D237" s="27" t="s">
        <v>133</v>
      </c>
      <c r="E237" s="28" t="s">
        <v>103</v>
      </c>
      <c r="F237" s="33" t="s">
        <v>134</v>
      </c>
      <c r="G237" s="27" t="s">
        <v>1521</v>
      </c>
      <c r="H237" s="27" t="s">
        <v>108</v>
      </c>
      <c r="I237" s="27" t="s">
        <v>1522</v>
      </c>
      <c r="J237" s="27" t="s">
        <v>108</v>
      </c>
      <c r="K237" s="27" t="s">
        <v>1523</v>
      </c>
      <c r="L237" s="27" t="s">
        <v>1524</v>
      </c>
      <c r="M237" s="28" t="s">
        <v>14</v>
      </c>
      <c r="N237" s="27" t="s">
        <v>111</v>
      </c>
      <c r="O237" s="27" t="s">
        <v>112</v>
      </c>
      <c r="P237" s="29" t="s">
        <v>113</v>
      </c>
      <c r="Q237" s="27" t="s">
        <v>121</v>
      </c>
    </row>
    <row r="238" spans="1:17" x14ac:dyDescent="0.25">
      <c r="A238" s="23" t="s">
        <v>1525</v>
      </c>
      <c r="B238" s="24" t="s">
        <v>50</v>
      </c>
      <c r="C238" s="24" t="s">
        <v>1526</v>
      </c>
      <c r="D238" s="24" t="s">
        <v>133</v>
      </c>
      <c r="E238" s="25" t="s">
        <v>288</v>
      </c>
      <c r="F238" s="37" t="s">
        <v>194</v>
      </c>
      <c r="G238" s="24" t="s">
        <v>1527</v>
      </c>
      <c r="H238" s="24" t="s">
        <v>1528</v>
      </c>
      <c r="I238" s="24" t="s">
        <v>1529</v>
      </c>
      <c r="J238" s="24" t="s">
        <v>108</v>
      </c>
      <c r="K238" s="24" t="s">
        <v>1530</v>
      </c>
      <c r="L238" s="27" t="s">
        <v>1531</v>
      </c>
      <c r="M238" s="28" t="s">
        <v>14</v>
      </c>
      <c r="N238" s="27" t="s">
        <v>111</v>
      </c>
      <c r="O238" s="27" t="s">
        <v>112</v>
      </c>
      <c r="P238" s="29" t="s">
        <v>113</v>
      </c>
      <c r="Q238" s="27" t="s">
        <v>121</v>
      </c>
    </row>
    <row r="239" spans="1:17" x14ac:dyDescent="0.25">
      <c r="A239" s="30" t="s">
        <v>1532</v>
      </c>
      <c r="B239" s="27" t="s">
        <v>50</v>
      </c>
      <c r="C239" s="27" t="s">
        <v>288</v>
      </c>
      <c r="D239" s="27" t="s">
        <v>133</v>
      </c>
      <c r="E239" s="28" t="s">
        <v>288</v>
      </c>
      <c r="F239" s="31" t="s">
        <v>116</v>
      </c>
      <c r="G239" s="27" t="s">
        <v>1533</v>
      </c>
      <c r="H239" s="27" t="s">
        <v>108</v>
      </c>
      <c r="I239" s="27" t="s">
        <v>1534</v>
      </c>
      <c r="J239" s="27" t="s">
        <v>108</v>
      </c>
      <c r="K239" s="27" t="s">
        <v>1535</v>
      </c>
      <c r="L239" s="27" t="s">
        <v>1536</v>
      </c>
      <c r="M239" s="28" t="s">
        <v>14</v>
      </c>
      <c r="N239" s="27" t="s">
        <v>111</v>
      </c>
      <c r="O239" s="27" t="s">
        <v>112</v>
      </c>
      <c r="P239" s="29" t="s">
        <v>113</v>
      </c>
      <c r="Q239" s="27" t="s">
        <v>121</v>
      </c>
    </row>
    <row r="240" spans="1:17" x14ac:dyDescent="0.25">
      <c r="A240" s="23" t="s">
        <v>1537</v>
      </c>
      <c r="B240" s="24" t="s">
        <v>51</v>
      </c>
      <c r="C240" s="24" t="s">
        <v>1084</v>
      </c>
      <c r="D240" s="24" t="s">
        <v>133</v>
      </c>
      <c r="E240" s="25" t="s">
        <v>103</v>
      </c>
      <c r="F240" s="26" t="s">
        <v>104</v>
      </c>
      <c r="G240" s="24" t="s">
        <v>1538</v>
      </c>
      <c r="H240" s="24" t="s">
        <v>507</v>
      </c>
      <c r="I240" s="24" t="s">
        <v>1539</v>
      </c>
      <c r="J240" s="24" t="s">
        <v>108</v>
      </c>
      <c r="K240" s="24" t="s">
        <v>1540</v>
      </c>
      <c r="L240" s="27" t="s">
        <v>1541</v>
      </c>
      <c r="M240" s="28" t="s">
        <v>14</v>
      </c>
      <c r="N240" s="27" t="s">
        <v>111</v>
      </c>
      <c r="O240" s="27" t="s">
        <v>112</v>
      </c>
      <c r="P240" s="29" t="s">
        <v>113</v>
      </c>
      <c r="Q240" s="27" t="s">
        <v>121</v>
      </c>
    </row>
    <row r="241" spans="1:17" x14ac:dyDescent="0.25">
      <c r="A241" s="30" t="s">
        <v>1542</v>
      </c>
      <c r="B241" s="27" t="s">
        <v>51</v>
      </c>
      <c r="C241" s="27" t="s">
        <v>866</v>
      </c>
      <c r="D241" s="27" t="s">
        <v>133</v>
      </c>
      <c r="E241" s="28" t="s">
        <v>103</v>
      </c>
      <c r="F241" s="36" t="s">
        <v>104</v>
      </c>
      <c r="G241" s="27" t="s">
        <v>1543</v>
      </c>
      <c r="H241" s="27" t="s">
        <v>108</v>
      </c>
      <c r="I241" s="27" t="s">
        <v>1544</v>
      </c>
      <c r="J241" s="27" t="s">
        <v>108</v>
      </c>
      <c r="K241" s="27" t="s">
        <v>1545</v>
      </c>
      <c r="L241" s="27" t="s">
        <v>1546</v>
      </c>
      <c r="M241" s="28" t="s">
        <v>14</v>
      </c>
      <c r="N241" s="27" t="s">
        <v>111</v>
      </c>
      <c r="O241" s="27" t="s">
        <v>112</v>
      </c>
      <c r="P241" s="29" t="s">
        <v>113</v>
      </c>
      <c r="Q241" s="27" t="s">
        <v>121</v>
      </c>
    </row>
    <row r="242" spans="1:17" x14ac:dyDescent="0.25">
      <c r="A242" s="23" t="s">
        <v>1547</v>
      </c>
      <c r="B242" s="24" t="s">
        <v>51</v>
      </c>
      <c r="C242" s="24" t="s">
        <v>866</v>
      </c>
      <c r="D242" s="24" t="s">
        <v>133</v>
      </c>
      <c r="E242" s="25" t="s">
        <v>167</v>
      </c>
      <c r="F242" s="26" t="s">
        <v>104</v>
      </c>
      <c r="G242" s="24" t="s">
        <v>1548</v>
      </c>
      <c r="H242" s="24" t="s">
        <v>108</v>
      </c>
      <c r="I242" s="24" t="s">
        <v>1549</v>
      </c>
      <c r="J242" s="24" t="s">
        <v>108</v>
      </c>
      <c r="K242" s="24" t="s">
        <v>1550</v>
      </c>
      <c r="L242" s="27" t="s">
        <v>1551</v>
      </c>
      <c r="M242" s="28" t="s">
        <v>14</v>
      </c>
      <c r="N242" s="27" t="s">
        <v>111</v>
      </c>
      <c r="O242" s="27" t="s">
        <v>112</v>
      </c>
      <c r="P242" s="29" t="s">
        <v>113</v>
      </c>
      <c r="Q242" s="27" t="s">
        <v>121</v>
      </c>
    </row>
    <row r="243" spans="1:17" x14ac:dyDescent="0.25">
      <c r="A243" s="30" t="s">
        <v>1552</v>
      </c>
      <c r="B243" s="27" t="s">
        <v>51</v>
      </c>
      <c r="C243" s="27" t="s">
        <v>866</v>
      </c>
      <c r="D243" s="27" t="s">
        <v>133</v>
      </c>
      <c r="E243" s="28" t="s">
        <v>167</v>
      </c>
      <c r="F243" s="31" t="s">
        <v>116</v>
      </c>
      <c r="G243" s="27" t="s">
        <v>1553</v>
      </c>
      <c r="H243" s="27" t="s">
        <v>1554</v>
      </c>
      <c r="I243" s="27" t="s">
        <v>885</v>
      </c>
      <c r="J243" s="27" t="s">
        <v>108</v>
      </c>
      <c r="K243" s="27" t="s">
        <v>886</v>
      </c>
      <c r="L243" s="27" t="s">
        <v>887</v>
      </c>
      <c r="M243" s="28" t="s">
        <v>14</v>
      </c>
      <c r="N243" s="27" t="s">
        <v>111</v>
      </c>
      <c r="O243" s="27" t="s">
        <v>112</v>
      </c>
      <c r="P243" s="29" t="s">
        <v>113</v>
      </c>
      <c r="Q243" s="27" t="s">
        <v>121</v>
      </c>
    </row>
    <row r="244" spans="1:17" x14ac:dyDescent="0.25">
      <c r="A244" s="23" t="s">
        <v>1555</v>
      </c>
      <c r="B244" s="24" t="s">
        <v>51</v>
      </c>
      <c r="C244" s="24" t="s">
        <v>1556</v>
      </c>
      <c r="D244" s="24" t="s">
        <v>133</v>
      </c>
      <c r="E244" s="25" t="s">
        <v>103</v>
      </c>
      <c r="F244" s="26" t="s">
        <v>104</v>
      </c>
      <c r="G244" s="24" t="s">
        <v>1557</v>
      </c>
      <c r="H244" s="24" t="s">
        <v>108</v>
      </c>
      <c r="I244" s="24" t="s">
        <v>1558</v>
      </c>
      <c r="J244" s="24" t="s">
        <v>1559</v>
      </c>
      <c r="K244" s="24" t="s">
        <v>1560</v>
      </c>
      <c r="L244" s="27" t="s">
        <v>1561</v>
      </c>
      <c r="M244" s="28" t="s">
        <v>14</v>
      </c>
      <c r="N244" s="27" t="s">
        <v>111</v>
      </c>
      <c r="O244" s="27" t="s">
        <v>112</v>
      </c>
      <c r="P244" s="29" t="s">
        <v>113</v>
      </c>
      <c r="Q244" s="27" t="s">
        <v>121</v>
      </c>
    </row>
    <row r="245" spans="1:17" x14ac:dyDescent="0.25">
      <c r="A245" s="30" t="s">
        <v>1562</v>
      </c>
      <c r="B245" s="27" t="s">
        <v>51</v>
      </c>
      <c r="C245" s="27" t="s">
        <v>1014</v>
      </c>
      <c r="D245" s="27" t="s">
        <v>234</v>
      </c>
      <c r="E245" s="28" t="s">
        <v>103</v>
      </c>
      <c r="F245" s="31" t="s">
        <v>116</v>
      </c>
      <c r="G245" s="27" t="s">
        <v>1563</v>
      </c>
      <c r="H245" s="27" t="s">
        <v>108</v>
      </c>
      <c r="I245" s="27" t="s">
        <v>1564</v>
      </c>
      <c r="J245" s="27" t="s">
        <v>108</v>
      </c>
      <c r="K245" s="27" t="s">
        <v>1565</v>
      </c>
      <c r="L245" s="27" t="s">
        <v>1566</v>
      </c>
      <c r="M245" s="28" t="s">
        <v>14</v>
      </c>
      <c r="N245" s="27" t="s">
        <v>111</v>
      </c>
      <c r="O245" s="27" t="s">
        <v>112</v>
      </c>
      <c r="P245" s="29" t="s">
        <v>113</v>
      </c>
      <c r="Q245" s="27" t="s">
        <v>121</v>
      </c>
    </row>
    <row r="246" spans="1:17" x14ac:dyDescent="0.25">
      <c r="A246" s="23" t="s">
        <v>1567</v>
      </c>
      <c r="B246" s="24" t="s">
        <v>51</v>
      </c>
      <c r="C246" s="24" t="s">
        <v>1568</v>
      </c>
      <c r="D246" s="24" t="s">
        <v>133</v>
      </c>
      <c r="E246" s="25" t="s">
        <v>167</v>
      </c>
      <c r="F246" s="26" t="s">
        <v>104</v>
      </c>
      <c r="G246" s="24" t="s">
        <v>1569</v>
      </c>
      <c r="H246" s="24" t="s">
        <v>108</v>
      </c>
      <c r="I246" s="24" t="s">
        <v>1570</v>
      </c>
      <c r="J246" s="24" t="s">
        <v>108</v>
      </c>
      <c r="K246" s="24" t="s">
        <v>1571</v>
      </c>
      <c r="L246" s="27" t="s">
        <v>1572</v>
      </c>
      <c r="M246" s="28" t="s">
        <v>14</v>
      </c>
      <c r="N246" s="27" t="s">
        <v>111</v>
      </c>
      <c r="O246" s="27" t="s">
        <v>112</v>
      </c>
      <c r="P246" s="29" t="s">
        <v>113</v>
      </c>
      <c r="Q246" s="27" t="s">
        <v>121</v>
      </c>
    </row>
    <row r="247" spans="1:17" x14ac:dyDescent="0.25">
      <c r="A247" s="30" t="s">
        <v>1573</v>
      </c>
      <c r="B247" s="27" t="s">
        <v>51</v>
      </c>
      <c r="C247" s="27" t="s">
        <v>1568</v>
      </c>
      <c r="D247" s="27" t="s">
        <v>133</v>
      </c>
      <c r="E247" s="28" t="s">
        <v>167</v>
      </c>
      <c r="F247" s="36" t="s">
        <v>104</v>
      </c>
      <c r="G247" s="27" t="s">
        <v>1574</v>
      </c>
      <c r="H247" s="27" t="s">
        <v>108</v>
      </c>
      <c r="I247" s="27" t="s">
        <v>1575</v>
      </c>
      <c r="J247" s="27" t="s">
        <v>108</v>
      </c>
      <c r="K247" s="27" t="s">
        <v>1576</v>
      </c>
      <c r="L247" s="27" t="s">
        <v>1577</v>
      </c>
      <c r="M247" s="28" t="s">
        <v>14</v>
      </c>
      <c r="N247" s="27" t="s">
        <v>111</v>
      </c>
      <c r="O247" s="27" t="s">
        <v>112</v>
      </c>
      <c r="P247" s="29" t="s">
        <v>113</v>
      </c>
      <c r="Q247" s="27" t="s">
        <v>121</v>
      </c>
    </row>
    <row r="248" spans="1:17" x14ac:dyDescent="0.25">
      <c r="A248" s="23" t="s">
        <v>1578</v>
      </c>
      <c r="B248" s="24" t="s">
        <v>51</v>
      </c>
      <c r="C248" s="24" t="s">
        <v>1568</v>
      </c>
      <c r="D248" s="24" t="s">
        <v>133</v>
      </c>
      <c r="E248" s="25" t="s">
        <v>167</v>
      </c>
      <c r="F248" s="26" t="s">
        <v>104</v>
      </c>
      <c r="G248" s="24" t="s">
        <v>1579</v>
      </c>
      <c r="H248" s="24" t="s">
        <v>108</v>
      </c>
      <c r="I248" s="24" t="s">
        <v>1580</v>
      </c>
      <c r="J248" s="24" t="s">
        <v>108</v>
      </c>
      <c r="K248" s="24" t="s">
        <v>1581</v>
      </c>
      <c r="L248" s="27" t="s">
        <v>1582</v>
      </c>
      <c r="M248" s="28" t="s">
        <v>14</v>
      </c>
      <c r="N248" s="27" t="s">
        <v>111</v>
      </c>
      <c r="O248" s="27" t="s">
        <v>112</v>
      </c>
      <c r="P248" s="29" t="s">
        <v>113</v>
      </c>
      <c r="Q248" s="27" t="s">
        <v>121</v>
      </c>
    </row>
    <row r="249" spans="1:17" x14ac:dyDescent="0.25">
      <c r="A249" s="30" t="s">
        <v>1583</v>
      </c>
      <c r="B249" s="27" t="s">
        <v>51</v>
      </c>
      <c r="C249" s="27" t="s">
        <v>1568</v>
      </c>
      <c r="D249" s="27" t="s">
        <v>133</v>
      </c>
      <c r="E249" s="28" t="s">
        <v>103</v>
      </c>
      <c r="F249" s="35" t="s">
        <v>194</v>
      </c>
      <c r="G249" s="27" t="s">
        <v>1584</v>
      </c>
      <c r="H249" s="27" t="s">
        <v>108</v>
      </c>
      <c r="I249" s="27" t="s">
        <v>1585</v>
      </c>
      <c r="J249" s="27" t="s">
        <v>108</v>
      </c>
      <c r="K249" s="27" t="s">
        <v>1586</v>
      </c>
      <c r="L249" s="27" t="s">
        <v>1587</v>
      </c>
      <c r="M249" s="28" t="s">
        <v>14</v>
      </c>
      <c r="N249" s="27" t="s">
        <v>111</v>
      </c>
      <c r="O249" s="27" t="s">
        <v>112</v>
      </c>
      <c r="P249" s="29" t="s">
        <v>113</v>
      </c>
      <c r="Q249" s="27" t="s">
        <v>121</v>
      </c>
    </row>
    <row r="250" spans="1:17" x14ac:dyDescent="0.25">
      <c r="A250" s="23" t="s">
        <v>1588</v>
      </c>
      <c r="B250" s="24" t="s">
        <v>52</v>
      </c>
      <c r="C250" s="24" t="s">
        <v>1589</v>
      </c>
      <c r="D250" s="24" t="s">
        <v>133</v>
      </c>
      <c r="E250" s="25" t="s">
        <v>103</v>
      </c>
      <c r="F250" s="26" t="s">
        <v>104</v>
      </c>
      <c r="G250" s="24" t="s">
        <v>1590</v>
      </c>
      <c r="H250" s="24" t="s">
        <v>1591</v>
      </c>
      <c r="I250" s="24" t="s">
        <v>1592</v>
      </c>
      <c r="J250" s="24" t="s">
        <v>108</v>
      </c>
      <c r="K250" s="24" t="s">
        <v>1593</v>
      </c>
      <c r="L250" s="27" t="s">
        <v>1594</v>
      </c>
      <c r="M250" s="28" t="s">
        <v>14</v>
      </c>
      <c r="N250" s="27" t="s">
        <v>111</v>
      </c>
      <c r="O250" s="27" t="s">
        <v>112</v>
      </c>
      <c r="P250" s="29" t="s">
        <v>113</v>
      </c>
      <c r="Q250" s="27" t="s">
        <v>121</v>
      </c>
    </row>
    <row r="251" spans="1:17" x14ac:dyDescent="0.25">
      <c r="A251" s="30" t="s">
        <v>1595</v>
      </c>
      <c r="B251" s="27" t="s">
        <v>52</v>
      </c>
      <c r="C251" s="27" t="s">
        <v>1589</v>
      </c>
      <c r="D251" s="27" t="s">
        <v>133</v>
      </c>
      <c r="E251" s="28" t="s">
        <v>103</v>
      </c>
      <c r="F251" s="31" t="s">
        <v>116</v>
      </c>
      <c r="G251" s="27" t="s">
        <v>1596</v>
      </c>
      <c r="H251" s="27" t="s">
        <v>108</v>
      </c>
      <c r="I251" s="27" t="s">
        <v>1597</v>
      </c>
      <c r="J251" s="27" t="s">
        <v>108</v>
      </c>
      <c r="K251" s="27" t="s">
        <v>1598</v>
      </c>
      <c r="L251" s="27" t="s">
        <v>1599</v>
      </c>
      <c r="M251" s="28" t="s">
        <v>14</v>
      </c>
      <c r="N251" s="27" t="s">
        <v>111</v>
      </c>
      <c r="O251" s="27" t="s">
        <v>112</v>
      </c>
      <c r="P251" s="29" t="s">
        <v>113</v>
      </c>
      <c r="Q251" s="27" t="s">
        <v>121</v>
      </c>
    </row>
    <row r="252" spans="1:17" x14ac:dyDescent="0.25">
      <c r="A252" s="23" t="s">
        <v>1600</v>
      </c>
      <c r="B252" s="24" t="s">
        <v>52</v>
      </c>
      <c r="C252" s="24" t="s">
        <v>1589</v>
      </c>
      <c r="D252" s="24" t="s">
        <v>133</v>
      </c>
      <c r="E252" s="25" t="s">
        <v>103</v>
      </c>
      <c r="F252" s="32" t="s">
        <v>134</v>
      </c>
      <c r="G252" s="24" t="s">
        <v>1368</v>
      </c>
      <c r="H252" s="24" t="s">
        <v>1601</v>
      </c>
      <c r="I252" s="24" t="s">
        <v>1602</v>
      </c>
      <c r="J252" s="24" t="s">
        <v>108</v>
      </c>
      <c r="K252" s="24" t="s">
        <v>1603</v>
      </c>
      <c r="L252" s="27" t="s">
        <v>1604</v>
      </c>
      <c r="M252" s="28" t="s">
        <v>14</v>
      </c>
      <c r="N252" s="27" t="s">
        <v>111</v>
      </c>
      <c r="O252" s="27" t="s">
        <v>112</v>
      </c>
      <c r="P252" s="29" t="s">
        <v>113</v>
      </c>
      <c r="Q252" s="27" t="s">
        <v>121</v>
      </c>
    </row>
    <row r="253" spans="1:17" x14ac:dyDescent="0.25">
      <c r="A253" s="30" t="s">
        <v>1605</v>
      </c>
      <c r="B253" s="27" t="s">
        <v>52</v>
      </c>
      <c r="C253" s="27" t="s">
        <v>1589</v>
      </c>
      <c r="D253" s="27" t="s">
        <v>133</v>
      </c>
      <c r="E253" s="28" t="s">
        <v>103</v>
      </c>
      <c r="F253" s="33" t="s">
        <v>134</v>
      </c>
      <c r="G253" s="27" t="s">
        <v>1606</v>
      </c>
      <c r="H253" s="27" t="s">
        <v>108</v>
      </c>
      <c r="I253" s="27" t="s">
        <v>1607</v>
      </c>
      <c r="J253" s="27" t="s">
        <v>108</v>
      </c>
      <c r="K253" s="27" t="s">
        <v>1608</v>
      </c>
      <c r="L253" s="27" t="s">
        <v>1609</v>
      </c>
      <c r="M253" s="28" t="s">
        <v>14</v>
      </c>
      <c r="N253" s="27" t="s">
        <v>111</v>
      </c>
      <c r="O253" s="27" t="s">
        <v>112</v>
      </c>
      <c r="P253" s="29" t="s">
        <v>113</v>
      </c>
      <c r="Q253" s="27" t="s">
        <v>121</v>
      </c>
    </row>
    <row r="254" spans="1:17" x14ac:dyDescent="0.25">
      <c r="A254" s="23" t="s">
        <v>1610</v>
      </c>
      <c r="B254" s="24" t="s">
        <v>52</v>
      </c>
      <c r="C254" s="24" t="s">
        <v>742</v>
      </c>
      <c r="D254" s="24" t="s">
        <v>193</v>
      </c>
      <c r="E254" s="25" t="s">
        <v>103</v>
      </c>
      <c r="F254" s="26" t="s">
        <v>104</v>
      </c>
      <c r="G254" s="24" t="s">
        <v>1611</v>
      </c>
      <c r="H254" s="24" t="s">
        <v>539</v>
      </c>
      <c r="I254" s="24" t="s">
        <v>1612</v>
      </c>
      <c r="J254" s="24" t="s">
        <v>108</v>
      </c>
      <c r="K254" s="24" t="s">
        <v>1613</v>
      </c>
      <c r="L254" s="27" t="s">
        <v>1614</v>
      </c>
      <c r="M254" s="28" t="s">
        <v>14</v>
      </c>
      <c r="N254" s="27" t="s">
        <v>111</v>
      </c>
      <c r="O254" s="27" t="s">
        <v>112</v>
      </c>
      <c r="P254" s="29" t="s">
        <v>113</v>
      </c>
      <c r="Q254" s="27" t="s">
        <v>121</v>
      </c>
    </row>
    <row r="255" spans="1:17" x14ac:dyDescent="0.25">
      <c r="A255" s="30" t="s">
        <v>1615</v>
      </c>
      <c r="B255" s="27" t="s">
        <v>52</v>
      </c>
      <c r="C255" s="27" t="s">
        <v>742</v>
      </c>
      <c r="D255" s="27" t="s">
        <v>193</v>
      </c>
      <c r="E255" s="28" t="s">
        <v>103</v>
      </c>
      <c r="F255" s="31" t="s">
        <v>116</v>
      </c>
      <c r="G255" s="27" t="s">
        <v>1616</v>
      </c>
      <c r="H255" s="27" t="s">
        <v>539</v>
      </c>
      <c r="I255" s="27" t="s">
        <v>1617</v>
      </c>
      <c r="J255" s="27" t="s">
        <v>108</v>
      </c>
      <c r="K255" s="27" t="s">
        <v>1618</v>
      </c>
      <c r="L255" s="27" t="s">
        <v>1619</v>
      </c>
      <c r="M255" s="28" t="s">
        <v>14</v>
      </c>
      <c r="N255" s="27" t="s">
        <v>111</v>
      </c>
      <c r="O255" s="27" t="s">
        <v>112</v>
      </c>
      <c r="P255" s="29" t="s">
        <v>113</v>
      </c>
      <c r="Q255" s="27" t="s">
        <v>121</v>
      </c>
    </row>
    <row r="256" spans="1:17" x14ac:dyDescent="0.25">
      <c r="A256" s="23" t="s">
        <v>1620</v>
      </c>
      <c r="B256" s="24" t="s">
        <v>52</v>
      </c>
      <c r="C256" s="24" t="s">
        <v>1621</v>
      </c>
      <c r="D256" s="24" t="s">
        <v>193</v>
      </c>
      <c r="E256" s="25" t="s">
        <v>103</v>
      </c>
      <c r="F256" s="34" t="s">
        <v>116</v>
      </c>
      <c r="G256" s="24" t="s">
        <v>1622</v>
      </c>
      <c r="H256" s="24" t="s">
        <v>108</v>
      </c>
      <c r="I256" s="24" t="s">
        <v>1623</v>
      </c>
      <c r="J256" s="24" t="s">
        <v>108</v>
      </c>
      <c r="K256" s="24" t="s">
        <v>1624</v>
      </c>
      <c r="L256" s="27" t="s">
        <v>1625</v>
      </c>
      <c r="M256" s="28" t="s">
        <v>14</v>
      </c>
      <c r="N256" s="27" t="s">
        <v>111</v>
      </c>
      <c r="O256" s="27" t="s">
        <v>112</v>
      </c>
      <c r="P256" s="29" t="s">
        <v>113</v>
      </c>
      <c r="Q256" s="27" t="s">
        <v>121</v>
      </c>
    </row>
    <row r="257" spans="1:17" x14ac:dyDescent="0.25">
      <c r="A257" s="30" t="s">
        <v>1626</v>
      </c>
      <c r="B257" s="27" t="s">
        <v>53</v>
      </c>
      <c r="C257" s="27" t="s">
        <v>1084</v>
      </c>
      <c r="D257" s="27" t="s">
        <v>193</v>
      </c>
      <c r="E257" s="28" t="s">
        <v>103</v>
      </c>
      <c r="F257" s="36" t="s">
        <v>104</v>
      </c>
      <c r="G257" s="27" t="s">
        <v>1627</v>
      </c>
      <c r="H257" s="27" t="s">
        <v>539</v>
      </c>
      <c r="I257" s="27" t="s">
        <v>1628</v>
      </c>
      <c r="J257" s="27" t="s">
        <v>108</v>
      </c>
      <c r="K257" s="27" t="s">
        <v>1629</v>
      </c>
      <c r="L257" s="27" t="s">
        <v>1630</v>
      </c>
      <c r="M257" s="28" t="s">
        <v>14</v>
      </c>
      <c r="N257" s="27" t="s">
        <v>111</v>
      </c>
      <c r="O257" s="27" t="s">
        <v>112</v>
      </c>
      <c r="P257" s="29" t="s">
        <v>113</v>
      </c>
      <c r="Q257" s="27" t="s">
        <v>121</v>
      </c>
    </row>
    <row r="258" spans="1:17" x14ac:dyDescent="0.25">
      <c r="A258" s="23" t="s">
        <v>1631</v>
      </c>
      <c r="B258" s="24" t="s">
        <v>53</v>
      </c>
      <c r="C258" s="24" t="s">
        <v>1084</v>
      </c>
      <c r="D258" s="24" t="s">
        <v>1027</v>
      </c>
      <c r="E258" s="25" t="s">
        <v>103</v>
      </c>
      <c r="F258" s="26" t="s">
        <v>104</v>
      </c>
      <c r="G258" s="24" t="s">
        <v>1632</v>
      </c>
      <c r="H258" s="24" t="s">
        <v>1029</v>
      </c>
      <c r="I258" s="24" t="s">
        <v>1633</v>
      </c>
      <c r="J258" s="24" t="s">
        <v>108</v>
      </c>
      <c r="K258" s="24" t="s">
        <v>1634</v>
      </c>
      <c r="L258" s="27" t="s">
        <v>1635</v>
      </c>
      <c r="M258" s="28" t="s">
        <v>14</v>
      </c>
      <c r="N258" s="27" t="s">
        <v>111</v>
      </c>
      <c r="O258" s="27" t="s">
        <v>112</v>
      </c>
      <c r="P258" s="29" t="s">
        <v>113</v>
      </c>
      <c r="Q258" s="27" t="s">
        <v>121</v>
      </c>
    </row>
    <row r="259" spans="1:17" x14ac:dyDescent="0.25">
      <c r="A259" s="30" t="s">
        <v>1636</v>
      </c>
      <c r="B259" s="27" t="s">
        <v>53</v>
      </c>
      <c r="C259" s="27" t="s">
        <v>1084</v>
      </c>
      <c r="D259" s="27" t="s">
        <v>636</v>
      </c>
      <c r="E259" s="28" t="s">
        <v>103</v>
      </c>
      <c r="F259" s="36" t="s">
        <v>104</v>
      </c>
      <c r="G259" s="27" t="s">
        <v>1637</v>
      </c>
      <c r="H259" s="27" t="s">
        <v>1638</v>
      </c>
      <c r="I259" s="27" t="s">
        <v>1628</v>
      </c>
      <c r="J259" s="27" t="s">
        <v>108</v>
      </c>
      <c r="K259" s="27" t="s">
        <v>1639</v>
      </c>
      <c r="L259" s="27" t="s">
        <v>1640</v>
      </c>
      <c r="M259" s="28" t="s">
        <v>14</v>
      </c>
      <c r="N259" s="27" t="s">
        <v>111</v>
      </c>
      <c r="O259" s="27" t="s">
        <v>112</v>
      </c>
      <c r="P259" s="29" t="s">
        <v>113</v>
      </c>
      <c r="Q259" s="27" t="s">
        <v>121</v>
      </c>
    </row>
    <row r="260" spans="1:17" x14ac:dyDescent="0.25">
      <c r="A260" s="23" t="s">
        <v>1641</v>
      </c>
      <c r="B260" s="24" t="s">
        <v>53</v>
      </c>
      <c r="C260" s="24" t="s">
        <v>1084</v>
      </c>
      <c r="D260" s="24" t="s">
        <v>234</v>
      </c>
      <c r="E260" s="25" t="s">
        <v>103</v>
      </c>
      <c r="F260" s="26" t="s">
        <v>104</v>
      </c>
      <c r="G260" s="24" t="s">
        <v>1642</v>
      </c>
      <c r="H260" s="24" t="s">
        <v>1643</v>
      </c>
      <c r="I260" s="24" t="s">
        <v>1628</v>
      </c>
      <c r="J260" s="24" t="s">
        <v>108</v>
      </c>
      <c r="K260" s="24" t="s">
        <v>1644</v>
      </c>
      <c r="L260" s="27" t="s">
        <v>1645</v>
      </c>
      <c r="M260" s="28" t="s">
        <v>14</v>
      </c>
      <c r="N260" s="27" t="s">
        <v>111</v>
      </c>
      <c r="O260" s="27" t="s">
        <v>112</v>
      </c>
      <c r="P260" s="29" t="s">
        <v>113</v>
      </c>
      <c r="Q260" s="27" t="s">
        <v>121</v>
      </c>
    </row>
    <row r="261" spans="1:17" x14ac:dyDescent="0.25">
      <c r="A261" s="30" t="s">
        <v>1646</v>
      </c>
      <c r="B261" s="27" t="s">
        <v>53</v>
      </c>
      <c r="C261" s="27" t="s">
        <v>1647</v>
      </c>
      <c r="D261" s="27" t="s">
        <v>133</v>
      </c>
      <c r="E261" s="28" t="s">
        <v>103</v>
      </c>
      <c r="F261" s="35" t="s">
        <v>194</v>
      </c>
      <c r="G261" s="27" t="s">
        <v>1648</v>
      </c>
      <c r="H261" s="27" t="s">
        <v>1649</v>
      </c>
      <c r="I261" s="27" t="s">
        <v>1650</v>
      </c>
      <c r="J261" s="27" t="s">
        <v>108</v>
      </c>
      <c r="K261" s="27" t="s">
        <v>1651</v>
      </c>
      <c r="L261" s="27" t="s">
        <v>1652</v>
      </c>
      <c r="M261" s="28" t="s">
        <v>14</v>
      </c>
      <c r="N261" s="27" t="s">
        <v>111</v>
      </c>
      <c r="O261" s="27" t="s">
        <v>112</v>
      </c>
      <c r="P261" s="29" t="s">
        <v>113</v>
      </c>
      <c r="Q261" s="27" t="s">
        <v>121</v>
      </c>
    </row>
    <row r="262" spans="1:17" x14ac:dyDescent="0.25">
      <c r="A262" s="23" t="s">
        <v>1653</v>
      </c>
      <c r="B262" s="24" t="s">
        <v>53</v>
      </c>
      <c r="C262" s="24" t="s">
        <v>1654</v>
      </c>
      <c r="D262" s="24" t="s">
        <v>133</v>
      </c>
      <c r="E262" s="25" t="s">
        <v>103</v>
      </c>
      <c r="F262" s="34" t="s">
        <v>116</v>
      </c>
      <c r="G262" s="24" t="s">
        <v>1655</v>
      </c>
      <c r="H262" s="24" t="s">
        <v>108</v>
      </c>
      <c r="I262" s="24" t="s">
        <v>1656</v>
      </c>
      <c r="J262" s="24" t="s">
        <v>108</v>
      </c>
      <c r="K262" s="24" t="s">
        <v>1396</v>
      </c>
      <c r="L262" s="27" t="s">
        <v>1397</v>
      </c>
      <c r="M262" s="28" t="s">
        <v>14</v>
      </c>
      <c r="N262" s="27" t="s">
        <v>111</v>
      </c>
      <c r="O262" s="27" t="s">
        <v>112</v>
      </c>
      <c r="P262" s="29" t="s">
        <v>113</v>
      </c>
      <c r="Q262" s="27" t="s">
        <v>121</v>
      </c>
    </row>
    <row r="263" spans="1:17" x14ac:dyDescent="0.25">
      <c r="A263" s="30" t="s">
        <v>1657</v>
      </c>
      <c r="B263" s="27" t="s">
        <v>53</v>
      </c>
      <c r="C263" s="27" t="s">
        <v>1654</v>
      </c>
      <c r="D263" s="27" t="s">
        <v>133</v>
      </c>
      <c r="E263" s="28" t="s">
        <v>103</v>
      </c>
      <c r="F263" s="31" t="s">
        <v>116</v>
      </c>
      <c r="G263" s="27" t="s">
        <v>1658</v>
      </c>
      <c r="H263" s="27" t="s">
        <v>108</v>
      </c>
      <c r="I263" s="27" t="s">
        <v>1659</v>
      </c>
      <c r="J263" s="27" t="s">
        <v>108</v>
      </c>
      <c r="K263" s="27" t="s">
        <v>1660</v>
      </c>
      <c r="L263" s="27" t="s">
        <v>1661</v>
      </c>
      <c r="M263" s="28" t="s">
        <v>14</v>
      </c>
      <c r="N263" s="27" t="s">
        <v>111</v>
      </c>
      <c r="O263" s="27" t="s">
        <v>112</v>
      </c>
      <c r="P263" s="29" t="s">
        <v>113</v>
      </c>
      <c r="Q263" s="27" t="s">
        <v>121</v>
      </c>
    </row>
    <row r="264" spans="1:17" x14ac:dyDescent="0.25">
      <c r="A264" s="23" t="s">
        <v>1662</v>
      </c>
      <c r="B264" s="24" t="s">
        <v>53</v>
      </c>
      <c r="C264" s="24" t="s">
        <v>1654</v>
      </c>
      <c r="D264" s="24" t="s">
        <v>234</v>
      </c>
      <c r="E264" s="25" t="s">
        <v>103</v>
      </c>
      <c r="F264" s="34" t="s">
        <v>116</v>
      </c>
      <c r="G264" s="24" t="s">
        <v>1663</v>
      </c>
      <c r="H264" s="24" t="s">
        <v>108</v>
      </c>
      <c r="I264" s="24" t="s">
        <v>1664</v>
      </c>
      <c r="J264" s="24" t="s">
        <v>108</v>
      </c>
      <c r="K264" s="24" t="s">
        <v>1665</v>
      </c>
      <c r="L264" s="27" t="s">
        <v>1666</v>
      </c>
      <c r="M264" s="28" t="s">
        <v>14</v>
      </c>
      <c r="N264" s="27" t="s">
        <v>111</v>
      </c>
      <c r="O264" s="27" t="s">
        <v>112</v>
      </c>
      <c r="P264" s="29" t="s">
        <v>113</v>
      </c>
      <c r="Q264" s="27" t="s">
        <v>121</v>
      </c>
    </row>
    <row r="265" spans="1:17" x14ac:dyDescent="0.25">
      <c r="A265" s="30" t="s">
        <v>1667</v>
      </c>
      <c r="B265" s="27" t="s">
        <v>53</v>
      </c>
      <c r="C265" s="27" t="s">
        <v>995</v>
      </c>
      <c r="D265" s="27" t="s">
        <v>133</v>
      </c>
      <c r="E265" s="28" t="s">
        <v>103</v>
      </c>
      <c r="F265" s="36" t="s">
        <v>104</v>
      </c>
      <c r="G265" s="27" t="s">
        <v>1668</v>
      </c>
      <c r="H265" s="27" t="s">
        <v>108</v>
      </c>
      <c r="I265" s="27" t="s">
        <v>1669</v>
      </c>
      <c r="J265" s="27" t="s">
        <v>108</v>
      </c>
      <c r="K265" s="27" t="s">
        <v>1670</v>
      </c>
      <c r="L265" s="27" t="s">
        <v>1671</v>
      </c>
      <c r="M265" s="28" t="s">
        <v>14</v>
      </c>
      <c r="N265" s="27" t="s">
        <v>111</v>
      </c>
      <c r="O265" s="27" t="s">
        <v>112</v>
      </c>
      <c r="P265" s="29" t="s">
        <v>113</v>
      </c>
      <c r="Q265" s="27" t="s">
        <v>121</v>
      </c>
    </row>
    <row r="266" spans="1:17" x14ac:dyDescent="0.25">
      <c r="A266" s="23" t="s">
        <v>1672</v>
      </c>
      <c r="B266" s="24" t="s">
        <v>53</v>
      </c>
      <c r="C266" s="24" t="s">
        <v>1673</v>
      </c>
      <c r="D266" s="24" t="s">
        <v>133</v>
      </c>
      <c r="E266" s="25" t="s">
        <v>103</v>
      </c>
      <c r="F266" s="34" t="s">
        <v>116</v>
      </c>
      <c r="G266" s="24" t="s">
        <v>1674</v>
      </c>
      <c r="H266" s="24" t="s">
        <v>108</v>
      </c>
      <c r="I266" s="24" t="s">
        <v>1675</v>
      </c>
      <c r="J266" s="24" t="s">
        <v>108</v>
      </c>
      <c r="K266" s="24" t="s">
        <v>1676</v>
      </c>
      <c r="L266" s="27" t="s">
        <v>1677</v>
      </c>
      <c r="M266" s="28" t="s">
        <v>14</v>
      </c>
      <c r="N266" s="27" t="s">
        <v>111</v>
      </c>
      <c r="O266" s="27" t="s">
        <v>112</v>
      </c>
      <c r="P266" s="29" t="s">
        <v>113</v>
      </c>
      <c r="Q266" s="27" t="s">
        <v>121</v>
      </c>
    </row>
    <row r="267" spans="1:17" x14ac:dyDescent="0.25">
      <c r="A267" s="30" t="s">
        <v>1678</v>
      </c>
      <c r="B267" s="27" t="s">
        <v>53</v>
      </c>
      <c r="C267" s="27" t="s">
        <v>531</v>
      </c>
      <c r="D267" s="27" t="s">
        <v>133</v>
      </c>
      <c r="E267" s="28" t="s">
        <v>103</v>
      </c>
      <c r="F267" s="33" t="s">
        <v>134</v>
      </c>
      <c r="G267" s="27" t="s">
        <v>1679</v>
      </c>
      <c r="H267" s="27" t="s">
        <v>108</v>
      </c>
      <c r="I267" s="27" t="s">
        <v>1680</v>
      </c>
      <c r="J267" s="27" t="s">
        <v>108</v>
      </c>
      <c r="K267" s="27" t="s">
        <v>1681</v>
      </c>
      <c r="L267" s="27" t="s">
        <v>1682</v>
      </c>
      <c r="M267" s="28" t="s">
        <v>14</v>
      </c>
      <c r="N267" s="27" t="s">
        <v>111</v>
      </c>
      <c r="O267" s="27" t="s">
        <v>112</v>
      </c>
      <c r="P267" s="29" t="s">
        <v>113</v>
      </c>
      <c r="Q267" s="27" t="s">
        <v>121</v>
      </c>
    </row>
    <row r="268" spans="1:17" x14ac:dyDescent="0.25">
      <c r="A268" s="23" t="s">
        <v>1683</v>
      </c>
      <c r="B268" s="24" t="s">
        <v>53</v>
      </c>
      <c r="C268" s="24" t="s">
        <v>715</v>
      </c>
      <c r="D268" s="24" t="s">
        <v>133</v>
      </c>
      <c r="E268" s="25" t="s">
        <v>141</v>
      </c>
      <c r="F268" s="34" t="s">
        <v>116</v>
      </c>
      <c r="G268" s="24" t="s">
        <v>1684</v>
      </c>
      <c r="H268" s="24" t="s">
        <v>108</v>
      </c>
      <c r="I268" s="24" t="s">
        <v>1685</v>
      </c>
      <c r="J268" s="24" t="s">
        <v>108</v>
      </c>
      <c r="K268" s="24" t="s">
        <v>1686</v>
      </c>
      <c r="L268" s="27" t="s">
        <v>1687</v>
      </c>
      <c r="M268" s="28" t="s">
        <v>14</v>
      </c>
      <c r="N268" s="27" t="s">
        <v>111</v>
      </c>
      <c r="O268" s="27" t="s">
        <v>112</v>
      </c>
      <c r="P268" s="29" t="s">
        <v>113</v>
      </c>
      <c r="Q268" s="27" t="s">
        <v>121</v>
      </c>
    </row>
    <row r="269" spans="1:17" x14ac:dyDescent="0.25">
      <c r="A269" s="30" t="s">
        <v>1688</v>
      </c>
      <c r="B269" s="27" t="s">
        <v>53</v>
      </c>
      <c r="C269" s="27" t="s">
        <v>765</v>
      </c>
      <c r="D269" s="27" t="s">
        <v>234</v>
      </c>
      <c r="E269" s="28" t="s">
        <v>141</v>
      </c>
      <c r="F269" s="33" t="s">
        <v>134</v>
      </c>
      <c r="G269" s="27" t="s">
        <v>1689</v>
      </c>
      <c r="H269" s="27" t="s">
        <v>1419</v>
      </c>
      <c r="I269" s="27" t="s">
        <v>1628</v>
      </c>
      <c r="J269" s="27" t="s">
        <v>108</v>
      </c>
      <c r="K269" s="27" t="s">
        <v>1690</v>
      </c>
      <c r="L269" s="27" t="s">
        <v>1691</v>
      </c>
      <c r="M269" s="28" t="s">
        <v>14</v>
      </c>
      <c r="N269" s="27" t="s">
        <v>111</v>
      </c>
      <c r="O269" s="27" t="s">
        <v>112</v>
      </c>
      <c r="P269" s="29" t="s">
        <v>113</v>
      </c>
      <c r="Q269" s="27" t="s">
        <v>121</v>
      </c>
    </row>
    <row r="270" spans="1:17" x14ac:dyDescent="0.25">
      <c r="A270" s="23" t="s">
        <v>1692</v>
      </c>
      <c r="B270" s="24" t="s">
        <v>54</v>
      </c>
      <c r="C270" s="24" t="s">
        <v>1411</v>
      </c>
      <c r="D270" s="24" t="s">
        <v>636</v>
      </c>
      <c r="E270" s="25" t="s">
        <v>103</v>
      </c>
      <c r="F270" s="26" t="s">
        <v>104</v>
      </c>
      <c r="G270" s="24" t="s">
        <v>1693</v>
      </c>
      <c r="H270" s="24" t="s">
        <v>1694</v>
      </c>
      <c r="I270" s="24" t="s">
        <v>1695</v>
      </c>
      <c r="J270" s="24" t="s">
        <v>108</v>
      </c>
      <c r="K270" s="24" t="s">
        <v>1696</v>
      </c>
      <c r="L270" s="27" t="s">
        <v>1697</v>
      </c>
      <c r="M270" s="28" t="s">
        <v>14</v>
      </c>
      <c r="N270" s="27" t="s">
        <v>111</v>
      </c>
      <c r="O270" s="27" t="s">
        <v>112</v>
      </c>
      <c r="P270" s="29" t="s">
        <v>113</v>
      </c>
      <c r="Q270" s="27" t="s">
        <v>121</v>
      </c>
    </row>
    <row r="271" spans="1:17" x14ac:dyDescent="0.25">
      <c r="A271" s="30" t="s">
        <v>1698</v>
      </c>
      <c r="B271" s="27" t="s">
        <v>54</v>
      </c>
      <c r="C271" s="27" t="s">
        <v>402</v>
      </c>
      <c r="D271" s="27" t="s">
        <v>133</v>
      </c>
      <c r="E271" s="28" t="s">
        <v>103</v>
      </c>
      <c r="F271" s="31" t="s">
        <v>116</v>
      </c>
      <c r="G271" s="27" t="s">
        <v>1699</v>
      </c>
      <c r="H271" s="27" t="s">
        <v>108</v>
      </c>
      <c r="I271" s="27" t="s">
        <v>1700</v>
      </c>
      <c r="J271" s="27" t="s">
        <v>108</v>
      </c>
      <c r="K271" s="27" t="s">
        <v>1701</v>
      </c>
      <c r="L271" s="27" t="s">
        <v>1702</v>
      </c>
      <c r="M271" s="28" t="s">
        <v>14</v>
      </c>
      <c r="N271" s="27" t="s">
        <v>111</v>
      </c>
      <c r="O271" s="27" t="s">
        <v>112</v>
      </c>
      <c r="P271" s="29" t="s">
        <v>113</v>
      </c>
      <c r="Q271" s="27" t="s">
        <v>121</v>
      </c>
    </row>
    <row r="272" spans="1:17" x14ac:dyDescent="0.25">
      <c r="A272" s="23" t="s">
        <v>1703</v>
      </c>
      <c r="B272" s="24" t="s">
        <v>54</v>
      </c>
      <c r="C272" s="24" t="s">
        <v>402</v>
      </c>
      <c r="D272" s="24" t="s">
        <v>133</v>
      </c>
      <c r="E272" s="25" t="s">
        <v>103</v>
      </c>
      <c r="F272" s="32" t="s">
        <v>134</v>
      </c>
      <c r="G272" s="24" t="s">
        <v>1704</v>
      </c>
      <c r="H272" s="24" t="s">
        <v>1705</v>
      </c>
      <c r="I272" s="24" t="s">
        <v>1706</v>
      </c>
      <c r="J272" s="24" t="s">
        <v>108</v>
      </c>
      <c r="K272" s="24" t="s">
        <v>1707</v>
      </c>
      <c r="L272" s="27" t="s">
        <v>1708</v>
      </c>
      <c r="M272" s="28" t="s">
        <v>14</v>
      </c>
      <c r="N272" s="27" t="s">
        <v>111</v>
      </c>
      <c r="O272" s="27" t="s">
        <v>112</v>
      </c>
      <c r="P272" s="29" t="s">
        <v>113</v>
      </c>
      <c r="Q272" s="27" t="s">
        <v>121</v>
      </c>
    </row>
    <row r="273" spans="1:17" x14ac:dyDescent="0.25">
      <c r="A273" s="30" t="s">
        <v>1709</v>
      </c>
      <c r="B273" s="27" t="s">
        <v>55</v>
      </c>
      <c r="C273" s="27" t="s">
        <v>1710</v>
      </c>
      <c r="D273" s="27" t="s">
        <v>102</v>
      </c>
      <c r="E273" s="28" t="s">
        <v>288</v>
      </c>
      <c r="F273" s="35" t="s">
        <v>194</v>
      </c>
      <c r="G273" s="27" t="s">
        <v>1711</v>
      </c>
      <c r="H273" s="27" t="s">
        <v>108</v>
      </c>
      <c r="I273" s="27" t="s">
        <v>1712</v>
      </c>
      <c r="J273" s="27" t="s">
        <v>108</v>
      </c>
      <c r="K273" s="27" t="s">
        <v>1713</v>
      </c>
      <c r="L273" s="27" t="s">
        <v>1714</v>
      </c>
      <c r="M273" s="28" t="s">
        <v>14</v>
      </c>
      <c r="N273" s="27" t="s">
        <v>111</v>
      </c>
      <c r="O273" s="27" t="s">
        <v>112</v>
      </c>
      <c r="P273" s="29" t="s">
        <v>113</v>
      </c>
      <c r="Q273" s="27" t="s">
        <v>1715</v>
      </c>
    </row>
    <row r="274" spans="1:17" x14ac:dyDescent="0.25">
      <c r="A274" s="23" t="s">
        <v>1716</v>
      </c>
      <c r="B274" s="24" t="s">
        <v>55</v>
      </c>
      <c r="C274" s="24" t="s">
        <v>1710</v>
      </c>
      <c r="D274" s="24" t="s">
        <v>234</v>
      </c>
      <c r="E274" s="25" t="s">
        <v>288</v>
      </c>
      <c r="F274" s="37" t="s">
        <v>194</v>
      </c>
      <c r="G274" s="24" t="s">
        <v>1717</v>
      </c>
      <c r="H274" s="24" t="s">
        <v>1718</v>
      </c>
      <c r="I274" s="24" t="s">
        <v>1719</v>
      </c>
      <c r="J274" s="24" t="s">
        <v>108</v>
      </c>
      <c r="K274" s="24" t="s">
        <v>1720</v>
      </c>
      <c r="L274" s="27" t="s">
        <v>1721</v>
      </c>
      <c r="M274" s="28" t="s">
        <v>14</v>
      </c>
      <c r="N274" s="27" t="s">
        <v>111</v>
      </c>
      <c r="O274" s="27" t="s">
        <v>112</v>
      </c>
      <c r="P274" s="29" t="s">
        <v>113</v>
      </c>
      <c r="Q274" s="27" t="s">
        <v>1722</v>
      </c>
    </row>
    <row r="275" spans="1:17" x14ac:dyDescent="0.25">
      <c r="A275" s="30" t="s">
        <v>1723</v>
      </c>
      <c r="B275" s="27" t="s">
        <v>55</v>
      </c>
      <c r="C275" s="27" t="s">
        <v>1710</v>
      </c>
      <c r="D275" s="27" t="s">
        <v>234</v>
      </c>
      <c r="E275" s="28" t="s">
        <v>288</v>
      </c>
      <c r="F275" s="36" t="s">
        <v>104</v>
      </c>
      <c r="G275" s="27" t="s">
        <v>1724</v>
      </c>
      <c r="H275" s="27" t="s">
        <v>1718</v>
      </c>
      <c r="I275" s="27" t="s">
        <v>1725</v>
      </c>
      <c r="J275" s="27" t="s">
        <v>108</v>
      </c>
      <c r="K275" s="27" t="s">
        <v>1726</v>
      </c>
      <c r="L275" s="27" t="s">
        <v>1727</v>
      </c>
      <c r="M275" s="28" t="s">
        <v>14</v>
      </c>
      <c r="N275" s="27" t="s">
        <v>111</v>
      </c>
      <c r="O275" s="27" t="s">
        <v>112</v>
      </c>
      <c r="P275" s="29" t="s">
        <v>113</v>
      </c>
      <c r="Q275" s="27" t="s">
        <v>1728</v>
      </c>
    </row>
    <row r="276" spans="1:17" x14ac:dyDescent="0.25">
      <c r="A276" s="23" t="s">
        <v>1729</v>
      </c>
      <c r="B276" s="24" t="s">
        <v>55</v>
      </c>
      <c r="C276" s="24" t="s">
        <v>1710</v>
      </c>
      <c r="D276" s="24" t="s">
        <v>234</v>
      </c>
      <c r="E276" s="25" t="s">
        <v>288</v>
      </c>
      <c r="F276" s="26" t="s">
        <v>104</v>
      </c>
      <c r="G276" s="24" t="s">
        <v>1730</v>
      </c>
      <c r="H276" s="24" t="s">
        <v>108</v>
      </c>
      <c r="I276" s="24" t="s">
        <v>1731</v>
      </c>
      <c r="J276" s="24" t="s">
        <v>108</v>
      </c>
      <c r="K276" s="24" t="s">
        <v>1732</v>
      </c>
      <c r="L276" s="27" t="s">
        <v>1733</v>
      </c>
      <c r="M276" s="28" t="s">
        <v>14</v>
      </c>
      <c r="N276" s="27" t="s">
        <v>111</v>
      </c>
      <c r="O276" s="27" t="s">
        <v>112</v>
      </c>
      <c r="P276" s="29" t="s">
        <v>113</v>
      </c>
      <c r="Q276" s="27" t="s">
        <v>121</v>
      </c>
    </row>
    <row r="277" spans="1:17" x14ac:dyDescent="0.25">
      <c r="A277" s="30" t="s">
        <v>1734</v>
      </c>
      <c r="B277" s="27" t="s">
        <v>55</v>
      </c>
      <c r="C277" s="27" t="s">
        <v>1735</v>
      </c>
      <c r="D277" s="27" t="s">
        <v>108</v>
      </c>
      <c r="E277" s="28" t="s">
        <v>288</v>
      </c>
      <c r="F277" s="33" t="s">
        <v>134</v>
      </c>
      <c r="G277" s="27" t="s">
        <v>1736</v>
      </c>
      <c r="H277" s="27" t="s">
        <v>108</v>
      </c>
      <c r="I277" s="27" t="s">
        <v>1737</v>
      </c>
      <c r="J277" s="27" t="s">
        <v>108</v>
      </c>
      <c r="K277" s="27" t="s">
        <v>1738</v>
      </c>
      <c r="L277" s="27" t="s">
        <v>1739</v>
      </c>
      <c r="M277" s="28" t="s">
        <v>14</v>
      </c>
      <c r="N277" s="27" t="s">
        <v>111</v>
      </c>
      <c r="O277" s="27" t="s">
        <v>112</v>
      </c>
      <c r="P277" s="29" t="s">
        <v>113</v>
      </c>
      <c r="Q277" s="27" t="s">
        <v>121</v>
      </c>
    </row>
    <row r="278" spans="1:17" x14ac:dyDescent="0.25">
      <c r="A278" s="23" t="s">
        <v>1740</v>
      </c>
      <c r="B278" s="24" t="s">
        <v>55</v>
      </c>
      <c r="C278" s="24" t="s">
        <v>1741</v>
      </c>
      <c r="D278" s="24" t="s">
        <v>108</v>
      </c>
      <c r="E278" s="25" t="s">
        <v>288</v>
      </c>
      <c r="F278" s="32" t="s">
        <v>134</v>
      </c>
      <c r="G278" s="24" t="s">
        <v>1742</v>
      </c>
      <c r="H278" s="24" t="s">
        <v>108</v>
      </c>
      <c r="I278" s="24" t="s">
        <v>1743</v>
      </c>
      <c r="J278" s="24" t="s">
        <v>108</v>
      </c>
      <c r="K278" s="24" t="s">
        <v>1744</v>
      </c>
      <c r="L278" s="27" t="s">
        <v>1745</v>
      </c>
      <c r="M278" s="28" t="s">
        <v>14</v>
      </c>
      <c r="N278" s="27" t="s">
        <v>111</v>
      </c>
      <c r="O278" s="27" t="s">
        <v>112</v>
      </c>
      <c r="P278" s="29" t="s">
        <v>113</v>
      </c>
      <c r="Q278" s="27" t="s">
        <v>121</v>
      </c>
    </row>
    <row r="279" spans="1:17" x14ac:dyDescent="0.25">
      <c r="A279" s="30" t="s">
        <v>1746</v>
      </c>
      <c r="B279" s="27" t="s">
        <v>55</v>
      </c>
      <c r="C279" s="27" t="s">
        <v>1747</v>
      </c>
      <c r="D279" s="27" t="s">
        <v>133</v>
      </c>
      <c r="E279" s="28" t="s">
        <v>288</v>
      </c>
      <c r="F279" s="31" t="s">
        <v>116</v>
      </c>
      <c r="G279" s="27" t="s">
        <v>1748</v>
      </c>
      <c r="H279" s="27" t="s">
        <v>108</v>
      </c>
      <c r="I279" s="27" t="s">
        <v>1749</v>
      </c>
      <c r="J279" s="27" t="s">
        <v>108</v>
      </c>
      <c r="K279" s="27" t="s">
        <v>1750</v>
      </c>
      <c r="L279" s="27" t="s">
        <v>1751</v>
      </c>
      <c r="M279" s="28" t="s">
        <v>14</v>
      </c>
      <c r="N279" s="27" t="s">
        <v>111</v>
      </c>
      <c r="O279" s="27" t="s">
        <v>112</v>
      </c>
      <c r="P279" s="29" t="s">
        <v>113</v>
      </c>
      <c r="Q279" s="27" t="s">
        <v>121</v>
      </c>
    </row>
    <row r="280" spans="1:17" x14ac:dyDescent="0.25">
      <c r="A280" s="23" t="s">
        <v>1752</v>
      </c>
      <c r="B280" s="24" t="s">
        <v>55</v>
      </c>
      <c r="C280" s="24" t="s">
        <v>1753</v>
      </c>
      <c r="D280" s="24" t="s">
        <v>133</v>
      </c>
      <c r="E280" s="25" t="s">
        <v>1753</v>
      </c>
      <c r="F280" s="34" t="s">
        <v>116</v>
      </c>
      <c r="G280" s="24" t="s">
        <v>1754</v>
      </c>
      <c r="H280" s="24" t="s">
        <v>1755</v>
      </c>
      <c r="I280" s="24" t="s">
        <v>1756</v>
      </c>
      <c r="J280" s="24" t="s">
        <v>108</v>
      </c>
      <c r="K280" s="24" t="s">
        <v>1757</v>
      </c>
      <c r="L280" s="27" t="s">
        <v>1758</v>
      </c>
      <c r="M280" s="28" t="s">
        <v>14</v>
      </c>
      <c r="N280" s="27" t="s">
        <v>111</v>
      </c>
      <c r="O280" s="27" t="s">
        <v>112</v>
      </c>
      <c r="P280" s="29" t="s">
        <v>113</v>
      </c>
      <c r="Q280" s="27" t="s">
        <v>121</v>
      </c>
    </row>
    <row r="281" spans="1:17" x14ac:dyDescent="0.25">
      <c r="A281" s="30" t="s">
        <v>1759</v>
      </c>
      <c r="B281" s="27" t="s">
        <v>55</v>
      </c>
      <c r="C281" s="27" t="s">
        <v>1753</v>
      </c>
      <c r="D281" s="27" t="s">
        <v>193</v>
      </c>
      <c r="E281" s="28" t="s">
        <v>1753</v>
      </c>
      <c r="F281" s="33" t="s">
        <v>134</v>
      </c>
      <c r="G281" s="27" t="s">
        <v>1760</v>
      </c>
      <c r="H281" s="27" t="s">
        <v>1761</v>
      </c>
      <c r="I281" s="27" t="s">
        <v>1762</v>
      </c>
      <c r="J281" s="27" t="s">
        <v>108</v>
      </c>
      <c r="K281" s="27" t="s">
        <v>1763</v>
      </c>
      <c r="L281" s="27" t="s">
        <v>1764</v>
      </c>
      <c r="M281" s="28" t="s">
        <v>14</v>
      </c>
      <c r="N281" s="27" t="s">
        <v>111</v>
      </c>
      <c r="O281" s="27" t="s">
        <v>112</v>
      </c>
      <c r="P281" s="29" t="s">
        <v>113</v>
      </c>
      <c r="Q281" s="27" t="s">
        <v>121</v>
      </c>
    </row>
    <row r="282" spans="1:17" x14ac:dyDescent="0.25">
      <c r="A282" s="23" t="s">
        <v>1765</v>
      </c>
      <c r="B282" s="24" t="s">
        <v>55</v>
      </c>
      <c r="C282" s="24" t="s">
        <v>1766</v>
      </c>
      <c r="D282" s="24" t="s">
        <v>133</v>
      </c>
      <c r="E282" s="25" t="s">
        <v>1767</v>
      </c>
      <c r="F282" s="34" t="s">
        <v>116</v>
      </c>
      <c r="G282" s="24" t="s">
        <v>1768</v>
      </c>
      <c r="H282" s="24" t="s">
        <v>108</v>
      </c>
      <c r="I282" s="24" t="s">
        <v>1769</v>
      </c>
      <c r="J282" s="24" t="s">
        <v>108</v>
      </c>
      <c r="K282" s="24" t="s">
        <v>1770</v>
      </c>
      <c r="L282" s="27" t="s">
        <v>1771</v>
      </c>
      <c r="M282" s="28" t="s">
        <v>14</v>
      </c>
      <c r="N282" s="27" t="s">
        <v>111</v>
      </c>
      <c r="O282" s="27" t="s">
        <v>112</v>
      </c>
      <c r="P282" s="29" t="s">
        <v>113</v>
      </c>
      <c r="Q282" s="27" t="s">
        <v>121</v>
      </c>
    </row>
    <row r="283" spans="1:17" x14ac:dyDescent="0.25">
      <c r="A283" s="30" t="s">
        <v>1772</v>
      </c>
      <c r="B283" s="27" t="s">
        <v>55</v>
      </c>
      <c r="C283" s="27" t="s">
        <v>1773</v>
      </c>
      <c r="D283" s="27" t="s">
        <v>133</v>
      </c>
      <c r="E283" s="28" t="s">
        <v>1774</v>
      </c>
      <c r="F283" s="33" t="s">
        <v>134</v>
      </c>
      <c r="G283" s="27" t="s">
        <v>1775</v>
      </c>
      <c r="H283" s="27" t="s">
        <v>108</v>
      </c>
      <c r="I283" s="27" t="s">
        <v>1776</v>
      </c>
      <c r="J283" s="27" t="s">
        <v>108</v>
      </c>
      <c r="K283" s="27" t="s">
        <v>1777</v>
      </c>
      <c r="L283" s="27" t="s">
        <v>1778</v>
      </c>
      <c r="M283" s="28" t="s">
        <v>14</v>
      </c>
      <c r="N283" s="27" t="s">
        <v>111</v>
      </c>
      <c r="O283" s="27" t="s">
        <v>112</v>
      </c>
      <c r="P283" s="29" t="s">
        <v>113</v>
      </c>
      <c r="Q283" s="27" t="s">
        <v>121</v>
      </c>
    </row>
    <row r="284" spans="1:17" x14ac:dyDescent="0.25">
      <c r="A284" s="23" t="s">
        <v>1779</v>
      </c>
      <c r="B284" s="24" t="s">
        <v>56</v>
      </c>
      <c r="C284" s="24" t="s">
        <v>1780</v>
      </c>
      <c r="D284" s="24" t="s">
        <v>133</v>
      </c>
      <c r="E284" s="25" t="s">
        <v>1781</v>
      </c>
      <c r="F284" s="26" t="s">
        <v>104</v>
      </c>
      <c r="G284" s="24" t="s">
        <v>1782</v>
      </c>
      <c r="H284" s="24" t="s">
        <v>108</v>
      </c>
      <c r="I284" s="24" t="s">
        <v>1783</v>
      </c>
      <c r="J284" s="24" t="s">
        <v>108</v>
      </c>
      <c r="K284" s="24" t="s">
        <v>1784</v>
      </c>
      <c r="L284" s="27" t="s">
        <v>1785</v>
      </c>
      <c r="M284" s="28" t="s">
        <v>14</v>
      </c>
      <c r="N284" s="27" t="s">
        <v>111</v>
      </c>
      <c r="O284" s="27" t="s">
        <v>112</v>
      </c>
      <c r="P284" s="29" t="s">
        <v>113</v>
      </c>
      <c r="Q284" s="27" t="s">
        <v>1786</v>
      </c>
    </row>
    <row r="285" spans="1:17" x14ac:dyDescent="0.25">
      <c r="A285" s="30" t="s">
        <v>1787</v>
      </c>
      <c r="B285" s="27" t="s">
        <v>56</v>
      </c>
      <c r="C285" s="27" t="s">
        <v>1780</v>
      </c>
      <c r="D285" s="27" t="s">
        <v>133</v>
      </c>
      <c r="E285" s="28" t="s">
        <v>1781</v>
      </c>
      <c r="F285" s="36" t="s">
        <v>104</v>
      </c>
      <c r="G285" s="27" t="s">
        <v>1788</v>
      </c>
      <c r="H285" s="27" t="s">
        <v>108</v>
      </c>
      <c r="I285" s="27" t="s">
        <v>1789</v>
      </c>
      <c r="J285" s="27" t="s">
        <v>108</v>
      </c>
      <c r="K285" s="27" t="s">
        <v>1784</v>
      </c>
      <c r="L285" s="27" t="s">
        <v>1790</v>
      </c>
      <c r="M285" s="28" t="s">
        <v>14</v>
      </c>
      <c r="N285" s="27" t="s">
        <v>111</v>
      </c>
      <c r="O285" s="27" t="s">
        <v>112</v>
      </c>
      <c r="P285" s="29" t="s">
        <v>113</v>
      </c>
      <c r="Q285" s="27" t="s">
        <v>1786</v>
      </c>
    </row>
    <row r="286" spans="1:17" x14ac:dyDescent="0.25">
      <c r="A286" s="23" t="s">
        <v>1791</v>
      </c>
      <c r="B286" s="24" t="s">
        <v>56</v>
      </c>
      <c r="C286" s="24" t="s">
        <v>1780</v>
      </c>
      <c r="D286" s="24" t="s">
        <v>133</v>
      </c>
      <c r="E286" s="25" t="s">
        <v>1781</v>
      </c>
      <c r="F286" s="34" t="s">
        <v>116</v>
      </c>
      <c r="G286" s="24" t="s">
        <v>1792</v>
      </c>
      <c r="H286" s="24" t="s">
        <v>108</v>
      </c>
      <c r="I286" s="24" t="s">
        <v>1793</v>
      </c>
      <c r="J286" s="24" t="s">
        <v>108</v>
      </c>
      <c r="K286" s="24" t="s">
        <v>1794</v>
      </c>
      <c r="L286" s="27" t="s">
        <v>1795</v>
      </c>
      <c r="M286" s="28" t="s">
        <v>14</v>
      </c>
      <c r="N286" s="27" t="s">
        <v>111</v>
      </c>
      <c r="O286" s="27" t="s">
        <v>112</v>
      </c>
      <c r="P286" s="29" t="s">
        <v>113</v>
      </c>
      <c r="Q286" s="27" t="s">
        <v>1786</v>
      </c>
    </row>
    <row r="287" spans="1:17" x14ac:dyDescent="0.25">
      <c r="A287" s="30" t="s">
        <v>1796</v>
      </c>
      <c r="B287" s="27" t="s">
        <v>56</v>
      </c>
      <c r="C287" s="27" t="s">
        <v>1780</v>
      </c>
      <c r="D287" s="27" t="s">
        <v>133</v>
      </c>
      <c r="E287" s="28" t="s">
        <v>1781</v>
      </c>
      <c r="F287" s="31" t="s">
        <v>116</v>
      </c>
      <c r="G287" s="27" t="s">
        <v>1797</v>
      </c>
      <c r="H287" s="27" t="s">
        <v>108</v>
      </c>
      <c r="I287" s="27" t="s">
        <v>1798</v>
      </c>
      <c r="J287" s="27" t="s">
        <v>108</v>
      </c>
      <c r="K287" s="27" t="s">
        <v>1799</v>
      </c>
      <c r="L287" s="27" t="s">
        <v>1800</v>
      </c>
      <c r="M287" s="28" t="s">
        <v>14</v>
      </c>
      <c r="N287" s="27" t="s">
        <v>111</v>
      </c>
      <c r="O287" s="27" t="s">
        <v>112</v>
      </c>
      <c r="P287" s="29" t="s">
        <v>113</v>
      </c>
      <c r="Q287" s="27" t="s">
        <v>1786</v>
      </c>
    </row>
    <row r="288" spans="1:17" x14ac:dyDescent="0.25">
      <c r="A288" s="23" t="s">
        <v>1801</v>
      </c>
      <c r="B288" s="24" t="s">
        <v>56</v>
      </c>
      <c r="C288" s="24" t="s">
        <v>1802</v>
      </c>
      <c r="D288" s="24" t="s">
        <v>133</v>
      </c>
      <c r="E288" s="25" t="s">
        <v>141</v>
      </c>
      <c r="F288" s="26" t="s">
        <v>104</v>
      </c>
      <c r="G288" s="24" t="s">
        <v>1803</v>
      </c>
      <c r="H288" s="24" t="s">
        <v>108</v>
      </c>
      <c r="I288" s="24" t="s">
        <v>1804</v>
      </c>
      <c r="J288" s="24" t="s">
        <v>108</v>
      </c>
      <c r="K288" s="24" t="s">
        <v>1805</v>
      </c>
      <c r="L288" s="27" t="s">
        <v>1806</v>
      </c>
      <c r="M288" s="28" t="s">
        <v>14</v>
      </c>
      <c r="N288" s="27" t="s">
        <v>111</v>
      </c>
      <c r="O288" s="27" t="s">
        <v>112</v>
      </c>
      <c r="P288" s="29" t="s">
        <v>113</v>
      </c>
      <c r="Q288" s="27" t="s">
        <v>1786</v>
      </c>
    </row>
    <row r="289" spans="1:17" x14ac:dyDescent="0.25">
      <c r="A289" s="30" t="s">
        <v>1807</v>
      </c>
      <c r="B289" s="27" t="s">
        <v>56</v>
      </c>
      <c r="C289" s="27" t="s">
        <v>1802</v>
      </c>
      <c r="D289" s="27" t="s">
        <v>133</v>
      </c>
      <c r="E289" s="28" t="s">
        <v>141</v>
      </c>
      <c r="F289" s="36" t="s">
        <v>104</v>
      </c>
      <c r="G289" s="27" t="s">
        <v>1808</v>
      </c>
      <c r="H289" s="27" t="s">
        <v>108</v>
      </c>
      <c r="I289" s="27" t="s">
        <v>1809</v>
      </c>
      <c r="J289" s="27" t="s">
        <v>108</v>
      </c>
      <c r="K289" s="27" t="s">
        <v>1810</v>
      </c>
      <c r="L289" s="27" t="s">
        <v>1811</v>
      </c>
      <c r="M289" s="28" t="s">
        <v>14</v>
      </c>
      <c r="N289" s="27" t="s">
        <v>111</v>
      </c>
      <c r="O289" s="27" t="s">
        <v>112</v>
      </c>
      <c r="P289" s="29" t="s">
        <v>113</v>
      </c>
      <c r="Q289" s="27" t="s">
        <v>1786</v>
      </c>
    </row>
    <row r="290" spans="1:17" x14ac:dyDescent="0.25">
      <c r="A290" s="23" t="s">
        <v>1812</v>
      </c>
      <c r="B290" s="24" t="s">
        <v>56</v>
      </c>
      <c r="C290" s="24" t="s">
        <v>1802</v>
      </c>
      <c r="D290" s="24" t="s">
        <v>133</v>
      </c>
      <c r="E290" s="25" t="s">
        <v>141</v>
      </c>
      <c r="F290" s="32" t="s">
        <v>134</v>
      </c>
      <c r="G290" s="24" t="s">
        <v>1813</v>
      </c>
      <c r="H290" s="24" t="s">
        <v>108</v>
      </c>
      <c r="I290" s="24" t="s">
        <v>1809</v>
      </c>
      <c r="J290" s="24" t="s">
        <v>108</v>
      </c>
      <c r="K290" s="24" t="s">
        <v>1814</v>
      </c>
      <c r="L290" s="27" t="s">
        <v>1815</v>
      </c>
      <c r="M290" s="28" t="s">
        <v>14</v>
      </c>
      <c r="N290" s="27" t="s">
        <v>111</v>
      </c>
      <c r="O290" s="27" t="s">
        <v>112</v>
      </c>
      <c r="P290" s="29" t="s">
        <v>113</v>
      </c>
      <c r="Q290" s="27" t="s">
        <v>1786</v>
      </c>
    </row>
    <row r="291" spans="1:17" x14ac:dyDescent="0.25">
      <c r="A291" s="30" t="s">
        <v>1816</v>
      </c>
      <c r="B291" s="27" t="s">
        <v>56</v>
      </c>
      <c r="C291" s="27" t="s">
        <v>1817</v>
      </c>
      <c r="D291" s="27" t="s">
        <v>133</v>
      </c>
      <c r="E291" s="28" t="s">
        <v>141</v>
      </c>
      <c r="F291" s="31" t="s">
        <v>116</v>
      </c>
      <c r="G291" s="27" t="s">
        <v>1818</v>
      </c>
      <c r="H291" s="27" t="s">
        <v>108</v>
      </c>
      <c r="I291" s="27" t="s">
        <v>1819</v>
      </c>
      <c r="J291" s="27" t="s">
        <v>108</v>
      </c>
      <c r="K291" s="27" t="s">
        <v>1820</v>
      </c>
      <c r="L291" s="27" t="s">
        <v>1821</v>
      </c>
      <c r="M291" s="28" t="s">
        <v>14</v>
      </c>
      <c r="N291" s="27" t="s">
        <v>111</v>
      </c>
      <c r="O291" s="27" t="s">
        <v>112</v>
      </c>
      <c r="P291" s="29" t="s">
        <v>113</v>
      </c>
      <c r="Q291" s="27" t="s">
        <v>1786</v>
      </c>
    </row>
    <row r="292" spans="1:17" x14ac:dyDescent="0.25">
      <c r="A292" s="23" t="s">
        <v>1822</v>
      </c>
      <c r="B292" s="24" t="s">
        <v>56</v>
      </c>
      <c r="C292" s="24" t="s">
        <v>1823</v>
      </c>
      <c r="D292" s="24" t="s">
        <v>133</v>
      </c>
      <c r="E292" s="25" t="s">
        <v>1824</v>
      </c>
      <c r="F292" s="26" t="s">
        <v>104</v>
      </c>
      <c r="G292" s="24" t="s">
        <v>1825</v>
      </c>
      <c r="H292" s="24" t="s">
        <v>507</v>
      </c>
      <c r="I292" s="24" t="s">
        <v>1826</v>
      </c>
      <c r="J292" s="24" t="s">
        <v>108</v>
      </c>
      <c r="K292" s="24" t="s">
        <v>1827</v>
      </c>
      <c r="L292" s="27" t="s">
        <v>1828</v>
      </c>
      <c r="M292" s="28" t="s">
        <v>14</v>
      </c>
      <c r="N292" s="27" t="s">
        <v>111</v>
      </c>
      <c r="O292" s="27" t="s">
        <v>112</v>
      </c>
      <c r="P292" s="29" t="s">
        <v>113</v>
      </c>
      <c r="Q292" s="27" t="s">
        <v>1786</v>
      </c>
    </row>
    <row r="293" spans="1:17" x14ac:dyDescent="0.25">
      <c r="A293" s="30" t="s">
        <v>1829</v>
      </c>
      <c r="B293" s="27" t="s">
        <v>56</v>
      </c>
      <c r="C293" s="27" t="s">
        <v>1830</v>
      </c>
      <c r="D293" s="27" t="s">
        <v>133</v>
      </c>
      <c r="E293" s="28" t="s">
        <v>141</v>
      </c>
      <c r="F293" s="33" t="s">
        <v>134</v>
      </c>
      <c r="G293" s="27" t="s">
        <v>1831</v>
      </c>
      <c r="H293" s="27" t="s">
        <v>108</v>
      </c>
      <c r="I293" s="27" t="s">
        <v>1832</v>
      </c>
      <c r="J293" s="27" t="s">
        <v>108</v>
      </c>
      <c r="K293" s="27" t="s">
        <v>1833</v>
      </c>
      <c r="L293" s="27" t="s">
        <v>1834</v>
      </c>
      <c r="M293" s="28" t="s">
        <v>14</v>
      </c>
      <c r="N293" s="27" t="s">
        <v>111</v>
      </c>
      <c r="O293" s="27" t="s">
        <v>112</v>
      </c>
      <c r="P293" s="29" t="s">
        <v>113</v>
      </c>
      <c r="Q293" s="27" t="s">
        <v>1786</v>
      </c>
    </row>
    <row r="294" spans="1:17" x14ac:dyDescent="0.25">
      <c r="A294" s="23" t="s">
        <v>1835</v>
      </c>
      <c r="B294" s="24" t="s">
        <v>56</v>
      </c>
      <c r="C294" s="24" t="s">
        <v>1836</v>
      </c>
      <c r="D294" s="24" t="s">
        <v>133</v>
      </c>
      <c r="E294" s="25" t="s">
        <v>1837</v>
      </c>
      <c r="F294" s="34" t="s">
        <v>116</v>
      </c>
      <c r="G294" s="24" t="s">
        <v>1838</v>
      </c>
      <c r="H294" s="24" t="s">
        <v>108</v>
      </c>
      <c r="I294" s="24" t="s">
        <v>1839</v>
      </c>
      <c r="J294" s="24" t="s">
        <v>108</v>
      </c>
      <c r="K294" s="24" t="s">
        <v>1840</v>
      </c>
      <c r="L294" s="27" t="s">
        <v>1841</v>
      </c>
      <c r="M294" s="28" t="s">
        <v>14</v>
      </c>
      <c r="N294" s="27" t="s">
        <v>111</v>
      </c>
      <c r="O294" s="27" t="s">
        <v>112</v>
      </c>
      <c r="P294" s="29" t="s">
        <v>113</v>
      </c>
      <c r="Q294" s="27" t="s">
        <v>1786</v>
      </c>
    </row>
    <row r="295" spans="1:17" x14ac:dyDescent="0.25">
      <c r="A295" s="30" t="s">
        <v>1842</v>
      </c>
      <c r="B295" s="27" t="s">
        <v>56</v>
      </c>
      <c r="C295" s="27" t="s">
        <v>1836</v>
      </c>
      <c r="D295" s="27" t="s">
        <v>133</v>
      </c>
      <c r="E295" s="28" t="s">
        <v>141</v>
      </c>
      <c r="F295" s="33" t="s">
        <v>134</v>
      </c>
      <c r="G295" s="27" t="s">
        <v>1843</v>
      </c>
      <c r="H295" s="27" t="s">
        <v>1844</v>
      </c>
      <c r="I295" s="27" t="s">
        <v>1845</v>
      </c>
      <c r="J295" s="27" t="s">
        <v>108</v>
      </c>
      <c r="K295" s="27" t="s">
        <v>1846</v>
      </c>
      <c r="L295" s="27" t="s">
        <v>1847</v>
      </c>
      <c r="M295" s="28" t="s">
        <v>14</v>
      </c>
      <c r="N295" s="27" t="s">
        <v>111</v>
      </c>
      <c r="O295" s="27" t="s">
        <v>112</v>
      </c>
      <c r="P295" s="29" t="s">
        <v>113</v>
      </c>
      <c r="Q295" s="27" t="s">
        <v>1786</v>
      </c>
    </row>
    <row r="296" spans="1:17" x14ac:dyDescent="0.25">
      <c r="A296" s="23" t="s">
        <v>1848</v>
      </c>
      <c r="B296" s="24" t="s">
        <v>56</v>
      </c>
      <c r="C296" s="24" t="s">
        <v>1849</v>
      </c>
      <c r="D296" s="24" t="s">
        <v>133</v>
      </c>
      <c r="E296" s="25" t="s">
        <v>103</v>
      </c>
      <c r="F296" s="26" t="s">
        <v>104</v>
      </c>
      <c r="G296" s="24" t="s">
        <v>1850</v>
      </c>
      <c r="H296" s="24" t="s">
        <v>1851</v>
      </c>
      <c r="I296" s="24" t="s">
        <v>1852</v>
      </c>
      <c r="J296" s="24" t="s">
        <v>108</v>
      </c>
      <c r="K296" s="24" t="s">
        <v>1853</v>
      </c>
      <c r="L296" s="27" t="s">
        <v>1854</v>
      </c>
      <c r="M296" s="28" t="s">
        <v>14</v>
      </c>
      <c r="N296" s="27" t="s">
        <v>111</v>
      </c>
      <c r="O296" s="27" t="s">
        <v>112</v>
      </c>
      <c r="P296" s="29" t="s">
        <v>113</v>
      </c>
      <c r="Q296" s="27" t="s">
        <v>1786</v>
      </c>
    </row>
    <row r="297" spans="1:17" x14ac:dyDescent="0.25">
      <c r="A297" s="30" t="s">
        <v>1855</v>
      </c>
      <c r="B297" s="27" t="s">
        <v>56</v>
      </c>
      <c r="C297" s="27" t="s">
        <v>1654</v>
      </c>
      <c r="D297" s="27" t="s">
        <v>193</v>
      </c>
      <c r="E297" s="28" t="s">
        <v>141</v>
      </c>
      <c r="F297" s="31" t="s">
        <v>116</v>
      </c>
      <c r="G297" s="27" t="s">
        <v>1856</v>
      </c>
      <c r="H297" s="27" t="s">
        <v>108</v>
      </c>
      <c r="I297" s="27" t="s">
        <v>1857</v>
      </c>
      <c r="J297" s="27" t="s">
        <v>108</v>
      </c>
      <c r="K297" s="27" t="s">
        <v>1858</v>
      </c>
      <c r="L297" s="27" t="s">
        <v>1859</v>
      </c>
      <c r="M297" s="28" t="s">
        <v>14</v>
      </c>
      <c r="N297" s="27" t="s">
        <v>111</v>
      </c>
      <c r="O297" s="27" t="s">
        <v>112</v>
      </c>
      <c r="P297" s="29" t="s">
        <v>113</v>
      </c>
      <c r="Q297" s="27" t="s">
        <v>1786</v>
      </c>
    </row>
    <row r="298" spans="1:17" x14ac:dyDescent="0.25">
      <c r="A298" s="23" t="s">
        <v>1860</v>
      </c>
      <c r="B298" s="24" t="s">
        <v>56</v>
      </c>
      <c r="C298" s="24" t="s">
        <v>1861</v>
      </c>
      <c r="D298" s="24" t="s">
        <v>193</v>
      </c>
      <c r="E298" s="25" t="s">
        <v>103</v>
      </c>
      <c r="F298" s="34" t="s">
        <v>116</v>
      </c>
      <c r="G298" s="24" t="s">
        <v>1862</v>
      </c>
      <c r="H298" s="24" t="s">
        <v>108</v>
      </c>
      <c r="I298" s="24" t="s">
        <v>1863</v>
      </c>
      <c r="J298" s="24" t="s">
        <v>108</v>
      </c>
      <c r="K298" s="24" t="s">
        <v>1864</v>
      </c>
      <c r="L298" s="27" t="s">
        <v>1865</v>
      </c>
      <c r="M298" s="28" t="s">
        <v>14</v>
      </c>
      <c r="N298" s="27" t="s">
        <v>111</v>
      </c>
      <c r="O298" s="27" t="s">
        <v>112</v>
      </c>
      <c r="P298" s="29" t="s">
        <v>113</v>
      </c>
      <c r="Q298" s="27" t="s">
        <v>1786</v>
      </c>
    </row>
    <row r="299" spans="1:17" x14ac:dyDescent="0.25">
      <c r="A299" s="30" t="s">
        <v>1866</v>
      </c>
      <c r="B299" s="27" t="s">
        <v>56</v>
      </c>
      <c r="C299" s="27" t="s">
        <v>1867</v>
      </c>
      <c r="D299" s="27" t="s">
        <v>133</v>
      </c>
      <c r="E299" s="28" t="s">
        <v>103</v>
      </c>
      <c r="F299" s="33" t="s">
        <v>134</v>
      </c>
      <c r="G299" s="27" t="s">
        <v>1868</v>
      </c>
      <c r="H299" s="27" t="s">
        <v>108</v>
      </c>
      <c r="I299" s="27" t="s">
        <v>1869</v>
      </c>
      <c r="J299" s="27" t="s">
        <v>108</v>
      </c>
      <c r="K299" s="27" t="s">
        <v>1870</v>
      </c>
      <c r="L299" s="27" t="s">
        <v>1871</v>
      </c>
      <c r="M299" s="28" t="s">
        <v>14</v>
      </c>
      <c r="N299" s="27" t="s">
        <v>111</v>
      </c>
      <c r="O299" s="27" t="s">
        <v>112</v>
      </c>
      <c r="P299" s="29" t="s">
        <v>113</v>
      </c>
      <c r="Q299" s="27" t="s">
        <v>1786</v>
      </c>
    </row>
    <row r="300" spans="1:17" x14ac:dyDescent="0.25">
      <c r="A300" s="23" t="s">
        <v>1872</v>
      </c>
      <c r="B300" s="24" t="s">
        <v>56</v>
      </c>
      <c r="C300" s="24" t="s">
        <v>1673</v>
      </c>
      <c r="D300" s="24" t="s">
        <v>133</v>
      </c>
      <c r="E300" s="25" t="s">
        <v>103</v>
      </c>
      <c r="F300" s="32" t="s">
        <v>134</v>
      </c>
      <c r="G300" s="24" t="s">
        <v>1873</v>
      </c>
      <c r="H300" s="24" t="s">
        <v>108</v>
      </c>
      <c r="I300" s="24" t="s">
        <v>1874</v>
      </c>
      <c r="J300" s="24" t="s">
        <v>108</v>
      </c>
      <c r="K300" s="24" t="s">
        <v>1875</v>
      </c>
      <c r="L300" s="27" t="s">
        <v>1876</v>
      </c>
      <c r="M300" s="28" t="s">
        <v>14</v>
      </c>
      <c r="N300" s="27" t="s">
        <v>111</v>
      </c>
      <c r="O300" s="27" t="s">
        <v>112</v>
      </c>
      <c r="P300" s="29" t="s">
        <v>113</v>
      </c>
      <c r="Q300" s="27" t="s">
        <v>1786</v>
      </c>
    </row>
    <row r="301" spans="1:17" x14ac:dyDescent="0.25">
      <c r="A301" s="30" t="s">
        <v>1877</v>
      </c>
      <c r="B301" s="27" t="s">
        <v>56</v>
      </c>
      <c r="C301" s="27" t="s">
        <v>1878</v>
      </c>
      <c r="D301" s="27" t="s">
        <v>133</v>
      </c>
      <c r="E301" s="28" t="s">
        <v>141</v>
      </c>
      <c r="F301" s="33" t="s">
        <v>134</v>
      </c>
      <c r="G301" s="27" t="s">
        <v>1879</v>
      </c>
      <c r="H301" s="27" t="s">
        <v>108</v>
      </c>
      <c r="I301" s="27" t="s">
        <v>1880</v>
      </c>
      <c r="J301" s="27" t="s">
        <v>108</v>
      </c>
      <c r="K301" s="27" t="s">
        <v>1881</v>
      </c>
      <c r="L301" s="27" t="s">
        <v>1882</v>
      </c>
      <c r="M301" s="28" t="s">
        <v>14</v>
      </c>
      <c r="N301" s="27" t="s">
        <v>111</v>
      </c>
      <c r="O301" s="27" t="s">
        <v>112</v>
      </c>
      <c r="P301" s="29" t="s">
        <v>113</v>
      </c>
      <c r="Q301" s="27" t="s">
        <v>1786</v>
      </c>
    </row>
  </sheetData>
  <autoFilter ref="A1:Q301"/>
  <conditionalFormatting sqref="M2:M301">
    <cfRule type="containsText" dxfId="0" priority="1">
      <formula>NOT(ISERROR(SEARCH("Pass",M2)))</formula>
    </cfRule>
    <cfRule type="containsText" dxfId="1" priority="2">
      <formula>NOT(ISERROR(SEARCH("Fail",M2)))</formula>
    </cfRule>
    <cfRule type="containsText" dxfId="2" priority="3">
      <formula>NOT(ISERROR(SEARCH("Blocked",M2)))</formula>
    </cfRule>
    <cfRule type="containsText" dxfId="3" priority="4">
      <formula>NOT(ISERROR(SEARCH("N/A",M2)))</formula>
    </cfRule>
  </conditionalFormatting>
  <dataValidations count="2">
    <dataValidation type="list" allowBlank="1" sqref="M10:M301">
      <formula1>"Not Run,Pass,Fail,Blocked,N/A"</formula1>
    </dataValidation>
    <dataValidation type="list" allowBlank="1" sqref="M2:M301">
      <formula1>"Not Run,Pass,Fail,Blocked,N/A"</formula1>
    </dataValidation>
  </dataValidations>
  <pageSetup paperSize="9"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pageSetUpPr fitToPage="1"/>
  </sheetPr>
  <dimension ref="A1:Q32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6" customWidth="1"/>
    <col min="3" max="3" width="15" customWidth="1"/>
    <col min="4" max="4" width="14" customWidth="1"/>
    <col min="5" max="5" width="13" customWidth="1"/>
    <col min="6" max="6" width="10" customWidth="1"/>
    <col min="7" max="7" width="40" customWidth="1"/>
    <col min="8" max="8" width="26" customWidth="1"/>
    <col min="9" max="9" width="48" customWidth="1"/>
    <col min="10" max="10" width="24" customWidth="1"/>
    <col min="11" max="11" width="50" customWidth="1"/>
    <col min="12" max="12" width="30" customWidth="1"/>
    <col min="13" max="13" width="11" customWidth="1"/>
    <col min="14" max="14" width="18" customWidth="1"/>
    <col min="15" max="16" width="12" customWidth="1"/>
    <col min="17" max="17" width="22" customWidth="1"/>
  </cols>
  <sheetData>
    <row r="1" ht="26" customHeight="1" spans="1:17" x14ac:dyDescent="0.25">
      <c r="A1" s="22" t="s">
        <v>83</v>
      </c>
      <c r="B1" s="22" t="s">
        <v>24</v>
      </c>
      <c r="C1" s="22" t="s">
        <v>85</v>
      </c>
      <c r="D1" s="22" t="s">
        <v>86</v>
      </c>
      <c r="E1" s="22" t="s">
        <v>87</v>
      </c>
      <c r="F1" s="22" t="s">
        <v>88</v>
      </c>
      <c r="G1" s="22" t="s">
        <v>89</v>
      </c>
      <c r="H1" s="22" t="s">
        <v>90</v>
      </c>
      <c r="I1" s="22" t="s">
        <v>91</v>
      </c>
      <c r="J1" s="22" t="s">
        <v>92</v>
      </c>
      <c r="K1" s="22" t="s">
        <v>93</v>
      </c>
      <c r="L1" s="22" t="s">
        <v>94</v>
      </c>
      <c r="M1" s="22" t="s">
        <v>95</v>
      </c>
      <c r="N1" s="22" t="s">
        <v>96</v>
      </c>
      <c r="O1" s="22" t="s">
        <v>97</v>
      </c>
      <c r="P1" s="22" t="s">
        <v>98</v>
      </c>
      <c r="Q1" s="22" t="s">
        <v>99</v>
      </c>
    </row>
    <row r="2" spans="1:17" x14ac:dyDescent="0.25">
      <c r="A2" s="23" t="s">
        <v>1883</v>
      </c>
      <c r="B2" s="24" t="s">
        <v>37</v>
      </c>
      <c r="C2" s="24" t="s">
        <v>101</v>
      </c>
      <c r="D2" s="24" t="s">
        <v>102</v>
      </c>
      <c r="E2" s="25" t="s">
        <v>103</v>
      </c>
      <c r="F2" s="26" t="s">
        <v>104</v>
      </c>
      <c r="G2" s="24" t="s">
        <v>105</v>
      </c>
      <c r="H2" s="24" t="s">
        <v>106</v>
      </c>
      <c r="I2" s="24" t="s">
        <v>107</v>
      </c>
      <c r="J2" s="24" t="s">
        <v>108</v>
      </c>
      <c r="K2" s="24" t="s">
        <v>109</v>
      </c>
      <c r="L2" s="27" t="s">
        <v>110</v>
      </c>
      <c r="M2" s="28" t="s">
        <v>14</v>
      </c>
      <c r="N2" s="27" t="s">
        <v>1884</v>
      </c>
      <c r="O2" s="27" t="s">
        <v>112</v>
      </c>
      <c r="P2" s="29" t="s">
        <v>113</v>
      </c>
      <c r="Q2" s="27" t="s">
        <v>114</v>
      </c>
    </row>
    <row r="3" spans="1:17" x14ac:dyDescent="0.25">
      <c r="A3" s="30" t="s">
        <v>1885</v>
      </c>
      <c r="B3" s="27" t="s">
        <v>37</v>
      </c>
      <c r="C3" s="27" t="s">
        <v>101</v>
      </c>
      <c r="D3" s="27" t="s">
        <v>102</v>
      </c>
      <c r="E3" s="28" t="s">
        <v>103</v>
      </c>
      <c r="F3" s="31" t="s">
        <v>116</v>
      </c>
      <c r="G3" s="27" t="s">
        <v>117</v>
      </c>
      <c r="H3" s="27" t="s">
        <v>106</v>
      </c>
      <c r="I3" s="27" t="s">
        <v>118</v>
      </c>
      <c r="J3" s="27" t="s">
        <v>108</v>
      </c>
      <c r="K3" s="27" t="s">
        <v>119</v>
      </c>
      <c r="L3" s="27" t="s">
        <v>120</v>
      </c>
      <c r="M3" s="28" t="s">
        <v>14</v>
      </c>
      <c r="N3" s="27" t="s">
        <v>1884</v>
      </c>
      <c r="O3" s="27" t="s">
        <v>112</v>
      </c>
      <c r="P3" s="29" t="s">
        <v>113</v>
      </c>
      <c r="Q3" s="27" t="s">
        <v>121</v>
      </c>
    </row>
    <row r="4" spans="1:17" x14ac:dyDescent="0.25">
      <c r="A4" s="23" t="s">
        <v>1886</v>
      </c>
      <c r="B4" s="24" t="s">
        <v>37</v>
      </c>
      <c r="C4" s="24" t="s">
        <v>101</v>
      </c>
      <c r="D4" s="24" t="s">
        <v>102</v>
      </c>
      <c r="E4" s="25" t="s">
        <v>103</v>
      </c>
      <c r="F4" s="26" t="s">
        <v>104</v>
      </c>
      <c r="G4" s="24" t="s">
        <v>123</v>
      </c>
      <c r="H4" s="24" t="s">
        <v>106</v>
      </c>
      <c r="I4" s="24" t="s">
        <v>124</v>
      </c>
      <c r="J4" s="24" t="s">
        <v>108</v>
      </c>
      <c r="K4" s="24" t="s">
        <v>125</v>
      </c>
      <c r="L4" s="27" t="s">
        <v>126</v>
      </c>
      <c r="M4" s="28" t="s">
        <v>14</v>
      </c>
      <c r="N4" s="27" t="s">
        <v>1884</v>
      </c>
      <c r="O4" s="27" t="s">
        <v>112</v>
      </c>
      <c r="P4" s="29" t="s">
        <v>113</v>
      </c>
      <c r="Q4" s="27" t="s">
        <v>121</v>
      </c>
    </row>
    <row r="5" spans="1:17" x14ac:dyDescent="0.25">
      <c r="A5" s="30" t="s">
        <v>1887</v>
      </c>
      <c r="B5" s="27" t="s">
        <v>37</v>
      </c>
      <c r="C5" s="27" t="s">
        <v>101</v>
      </c>
      <c r="D5" s="27" t="s">
        <v>102</v>
      </c>
      <c r="E5" s="28" t="s">
        <v>103</v>
      </c>
      <c r="F5" s="31" t="s">
        <v>116</v>
      </c>
      <c r="G5" s="27" t="s">
        <v>128</v>
      </c>
      <c r="H5" s="27" t="s">
        <v>106</v>
      </c>
      <c r="I5" s="27" t="s">
        <v>129</v>
      </c>
      <c r="J5" s="27" t="s">
        <v>108</v>
      </c>
      <c r="K5" s="27" t="s">
        <v>130</v>
      </c>
      <c r="L5" s="27" t="s">
        <v>131</v>
      </c>
      <c r="M5" s="28" t="s">
        <v>14</v>
      </c>
      <c r="N5" s="27" t="s">
        <v>1884</v>
      </c>
      <c r="O5" s="27" t="s">
        <v>112</v>
      </c>
      <c r="P5" s="29" t="s">
        <v>113</v>
      </c>
      <c r="Q5" s="27" t="s">
        <v>121</v>
      </c>
    </row>
    <row r="6" spans="1:17" x14ac:dyDescent="0.25">
      <c r="A6" s="23" t="s">
        <v>1888</v>
      </c>
      <c r="B6" s="24" t="s">
        <v>37</v>
      </c>
      <c r="C6" s="24" t="s">
        <v>101</v>
      </c>
      <c r="D6" s="24" t="s">
        <v>133</v>
      </c>
      <c r="E6" s="25" t="s">
        <v>103</v>
      </c>
      <c r="F6" s="32" t="s">
        <v>134</v>
      </c>
      <c r="G6" s="24" t="s">
        <v>135</v>
      </c>
      <c r="H6" s="24" t="s">
        <v>136</v>
      </c>
      <c r="I6" s="24" t="s">
        <v>137</v>
      </c>
      <c r="J6" s="24" t="s">
        <v>108</v>
      </c>
      <c r="K6" s="24" t="s">
        <v>138</v>
      </c>
      <c r="L6" s="27" t="s">
        <v>139</v>
      </c>
      <c r="M6" s="28" t="s">
        <v>14</v>
      </c>
      <c r="N6" s="27" t="s">
        <v>1884</v>
      </c>
      <c r="O6" s="27" t="s">
        <v>112</v>
      </c>
      <c r="P6" s="29" t="s">
        <v>113</v>
      </c>
      <c r="Q6" s="27" t="s">
        <v>121</v>
      </c>
    </row>
    <row r="7" spans="1:17" x14ac:dyDescent="0.25">
      <c r="A7" s="30" t="s">
        <v>1889</v>
      </c>
      <c r="B7" s="27" t="s">
        <v>37</v>
      </c>
      <c r="C7" s="27" t="s">
        <v>101</v>
      </c>
      <c r="D7" s="27" t="s">
        <v>102</v>
      </c>
      <c r="E7" s="28" t="s">
        <v>141</v>
      </c>
      <c r="F7" s="33" t="s">
        <v>134</v>
      </c>
      <c r="G7" s="27" t="s">
        <v>142</v>
      </c>
      <c r="H7" s="27" t="s">
        <v>108</v>
      </c>
      <c r="I7" s="27" t="s">
        <v>143</v>
      </c>
      <c r="J7" s="27" t="s">
        <v>108</v>
      </c>
      <c r="K7" s="27" t="s">
        <v>144</v>
      </c>
      <c r="L7" s="27" t="s">
        <v>145</v>
      </c>
      <c r="M7" s="28" t="s">
        <v>14</v>
      </c>
      <c r="N7" s="27" t="s">
        <v>1884</v>
      </c>
      <c r="O7" s="27" t="s">
        <v>112</v>
      </c>
      <c r="P7" s="29" t="s">
        <v>113</v>
      </c>
      <c r="Q7" s="27" t="s">
        <v>121</v>
      </c>
    </row>
    <row r="8" spans="1:17" x14ac:dyDescent="0.25">
      <c r="A8" s="23" t="s">
        <v>1890</v>
      </c>
      <c r="B8" s="24" t="s">
        <v>37</v>
      </c>
      <c r="C8" s="24" t="s">
        <v>147</v>
      </c>
      <c r="D8" s="24" t="s">
        <v>133</v>
      </c>
      <c r="E8" s="25" t="s">
        <v>103</v>
      </c>
      <c r="F8" s="32" t="s">
        <v>134</v>
      </c>
      <c r="G8" s="24" t="s">
        <v>148</v>
      </c>
      <c r="H8" s="24" t="s">
        <v>108</v>
      </c>
      <c r="I8" s="24" t="s">
        <v>149</v>
      </c>
      <c r="J8" s="24" t="s">
        <v>108</v>
      </c>
      <c r="K8" s="24" t="s">
        <v>150</v>
      </c>
      <c r="L8" s="27" t="s">
        <v>151</v>
      </c>
      <c r="M8" s="28" t="s">
        <v>14</v>
      </c>
      <c r="N8" s="27" t="s">
        <v>1884</v>
      </c>
      <c r="O8" s="27" t="s">
        <v>112</v>
      </c>
      <c r="P8" s="29" t="s">
        <v>113</v>
      </c>
      <c r="Q8" s="27" t="s">
        <v>121</v>
      </c>
    </row>
    <row r="9" spans="1:17" x14ac:dyDescent="0.25">
      <c r="A9" s="30" t="s">
        <v>1891</v>
      </c>
      <c r="B9" s="27" t="s">
        <v>37</v>
      </c>
      <c r="C9" s="27" t="s">
        <v>153</v>
      </c>
      <c r="D9" s="27" t="s">
        <v>102</v>
      </c>
      <c r="E9" s="28" t="s">
        <v>103</v>
      </c>
      <c r="F9" s="31" t="s">
        <v>116</v>
      </c>
      <c r="G9" s="27" t="s">
        <v>154</v>
      </c>
      <c r="H9" s="27" t="s">
        <v>108</v>
      </c>
      <c r="I9" s="27" t="s">
        <v>155</v>
      </c>
      <c r="J9" s="27" t="s">
        <v>108</v>
      </c>
      <c r="K9" s="27" t="s">
        <v>156</v>
      </c>
      <c r="L9" s="27" t="s">
        <v>157</v>
      </c>
      <c r="M9" s="28" t="s">
        <v>14</v>
      </c>
      <c r="N9" s="27" t="s">
        <v>1884</v>
      </c>
      <c r="O9" s="27" t="s">
        <v>112</v>
      </c>
      <c r="P9" s="29" t="s">
        <v>113</v>
      </c>
      <c r="Q9" s="27" t="s">
        <v>121</v>
      </c>
    </row>
    <row r="10" spans="1:17" x14ac:dyDescent="0.25">
      <c r="A10" s="23" t="s">
        <v>1892</v>
      </c>
      <c r="B10" s="24" t="s">
        <v>37</v>
      </c>
      <c r="C10" s="24" t="s">
        <v>159</v>
      </c>
      <c r="D10" s="24" t="s">
        <v>102</v>
      </c>
      <c r="E10" s="25" t="s">
        <v>103</v>
      </c>
      <c r="F10" s="26" t="s">
        <v>104</v>
      </c>
      <c r="G10" s="24" t="s">
        <v>160</v>
      </c>
      <c r="H10" s="24" t="s">
        <v>108</v>
      </c>
      <c r="I10" s="24" t="s">
        <v>161</v>
      </c>
      <c r="J10" s="24" t="s">
        <v>162</v>
      </c>
      <c r="K10" s="24" t="s">
        <v>163</v>
      </c>
      <c r="L10" s="27" t="s">
        <v>164</v>
      </c>
      <c r="M10" s="28" t="s">
        <v>14</v>
      </c>
      <c r="N10" s="27" t="s">
        <v>1884</v>
      </c>
      <c r="O10" s="27" t="s">
        <v>112</v>
      </c>
      <c r="P10" s="29" t="s">
        <v>113</v>
      </c>
      <c r="Q10" s="27" t="s">
        <v>165</v>
      </c>
    </row>
    <row r="11" spans="1:17" x14ac:dyDescent="0.25">
      <c r="A11" s="30" t="s">
        <v>1893</v>
      </c>
      <c r="B11" s="27" t="s">
        <v>37</v>
      </c>
      <c r="C11" s="27" t="s">
        <v>159</v>
      </c>
      <c r="D11" s="27" t="s">
        <v>102</v>
      </c>
      <c r="E11" s="28" t="s">
        <v>167</v>
      </c>
      <c r="F11" s="31" t="s">
        <v>116</v>
      </c>
      <c r="G11" s="27" t="s">
        <v>168</v>
      </c>
      <c r="H11" s="27" t="s">
        <v>108</v>
      </c>
      <c r="I11" s="27" t="s">
        <v>169</v>
      </c>
      <c r="J11" s="27" t="s">
        <v>108</v>
      </c>
      <c r="K11" s="27" t="s">
        <v>170</v>
      </c>
      <c r="L11" s="27" t="s">
        <v>171</v>
      </c>
      <c r="M11" s="28" t="s">
        <v>14</v>
      </c>
      <c r="N11" s="27" t="s">
        <v>1884</v>
      </c>
      <c r="O11" s="27" t="s">
        <v>112</v>
      </c>
      <c r="P11" s="29" t="s">
        <v>113</v>
      </c>
      <c r="Q11" s="27" t="s">
        <v>121</v>
      </c>
    </row>
    <row r="12" spans="1:17" x14ac:dyDescent="0.25">
      <c r="A12" s="23" t="s">
        <v>1894</v>
      </c>
      <c r="B12" s="24" t="s">
        <v>37</v>
      </c>
      <c r="C12" s="24" t="s">
        <v>159</v>
      </c>
      <c r="D12" s="24" t="s">
        <v>102</v>
      </c>
      <c r="E12" s="25" t="s">
        <v>167</v>
      </c>
      <c r="F12" s="34" t="s">
        <v>116</v>
      </c>
      <c r="G12" s="24" t="s">
        <v>173</v>
      </c>
      <c r="H12" s="24" t="s">
        <v>108</v>
      </c>
      <c r="I12" s="24" t="s">
        <v>174</v>
      </c>
      <c r="J12" s="24" t="s">
        <v>175</v>
      </c>
      <c r="K12" s="24" t="s">
        <v>176</v>
      </c>
      <c r="L12" s="27" t="s">
        <v>177</v>
      </c>
      <c r="M12" s="28" t="s">
        <v>14</v>
      </c>
      <c r="N12" s="27" t="s">
        <v>1884</v>
      </c>
      <c r="O12" s="27" t="s">
        <v>112</v>
      </c>
      <c r="P12" s="29" t="s">
        <v>113</v>
      </c>
      <c r="Q12" s="27" t="s">
        <v>121</v>
      </c>
    </row>
    <row r="13" spans="1:17" x14ac:dyDescent="0.25">
      <c r="A13" s="30" t="s">
        <v>1895</v>
      </c>
      <c r="B13" s="27" t="s">
        <v>37</v>
      </c>
      <c r="C13" s="27" t="s">
        <v>159</v>
      </c>
      <c r="D13" s="27" t="s">
        <v>102</v>
      </c>
      <c r="E13" s="28" t="s">
        <v>167</v>
      </c>
      <c r="F13" s="33" t="s">
        <v>134</v>
      </c>
      <c r="G13" s="27" t="s">
        <v>179</v>
      </c>
      <c r="H13" s="27" t="s">
        <v>108</v>
      </c>
      <c r="I13" s="27" t="s">
        <v>180</v>
      </c>
      <c r="J13" s="27" t="s">
        <v>108</v>
      </c>
      <c r="K13" s="27" t="s">
        <v>181</v>
      </c>
      <c r="L13" s="27" t="s">
        <v>182</v>
      </c>
      <c r="M13" s="28" t="s">
        <v>14</v>
      </c>
      <c r="N13" s="27" t="s">
        <v>1884</v>
      </c>
      <c r="O13" s="27" t="s">
        <v>112</v>
      </c>
      <c r="P13" s="29" t="s">
        <v>113</v>
      </c>
      <c r="Q13" s="27" t="s">
        <v>183</v>
      </c>
    </row>
    <row r="14" spans="1:17" x14ac:dyDescent="0.25">
      <c r="A14" s="23" t="s">
        <v>1896</v>
      </c>
      <c r="B14" s="24" t="s">
        <v>37</v>
      </c>
      <c r="C14" s="24" t="s">
        <v>185</v>
      </c>
      <c r="D14" s="24" t="s">
        <v>102</v>
      </c>
      <c r="E14" s="25" t="s">
        <v>167</v>
      </c>
      <c r="F14" s="32" t="s">
        <v>134</v>
      </c>
      <c r="G14" s="24" t="s">
        <v>186</v>
      </c>
      <c r="H14" s="24" t="s">
        <v>108</v>
      </c>
      <c r="I14" s="24" t="s">
        <v>187</v>
      </c>
      <c r="J14" s="24" t="s">
        <v>108</v>
      </c>
      <c r="K14" s="24" t="s">
        <v>188</v>
      </c>
      <c r="L14" s="27" t="s">
        <v>189</v>
      </c>
      <c r="M14" s="28" t="s">
        <v>14</v>
      </c>
      <c r="N14" s="27" t="s">
        <v>1884</v>
      </c>
      <c r="O14" s="27" t="s">
        <v>112</v>
      </c>
      <c r="P14" s="29" t="s">
        <v>113</v>
      </c>
      <c r="Q14" s="27" t="s">
        <v>190</v>
      </c>
    </row>
    <row r="15" spans="1:17" x14ac:dyDescent="0.25">
      <c r="A15" s="30" t="s">
        <v>1897</v>
      </c>
      <c r="B15" s="27" t="s">
        <v>38</v>
      </c>
      <c r="C15" s="27" t="s">
        <v>192</v>
      </c>
      <c r="D15" s="27" t="s">
        <v>193</v>
      </c>
      <c r="E15" s="28" t="s">
        <v>103</v>
      </c>
      <c r="F15" s="35" t="s">
        <v>194</v>
      </c>
      <c r="G15" s="27" t="s">
        <v>195</v>
      </c>
      <c r="H15" s="27" t="s">
        <v>196</v>
      </c>
      <c r="I15" s="27" t="s">
        <v>197</v>
      </c>
      <c r="J15" s="27" t="s">
        <v>198</v>
      </c>
      <c r="K15" s="27" t="s">
        <v>199</v>
      </c>
      <c r="L15" s="27" t="s">
        <v>200</v>
      </c>
      <c r="M15" s="28" t="s">
        <v>14</v>
      </c>
      <c r="N15" s="27" t="s">
        <v>1884</v>
      </c>
      <c r="O15" s="27" t="s">
        <v>112</v>
      </c>
      <c r="P15" s="29" t="s">
        <v>113</v>
      </c>
      <c r="Q15" s="27" t="s">
        <v>201</v>
      </c>
    </row>
    <row r="16" spans="1:17" x14ac:dyDescent="0.25">
      <c r="A16" s="23" t="s">
        <v>1898</v>
      </c>
      <c r="B16" s="24" t="s">
        <v>38</v>
      </c>
      <c r="C16" s="24" t="s">
        <v>192</v>
      </c>
      <c r="D16" s="24" t="s">
        <v>203</v>
      </c>
      <c r="E16" s="25" t="s">
        <v>103</v>
      </c>
      <c r="F16" s="26" t="s">
        <v>104</v>
      </c>
      <c r="G16" s="24" t="s">
        <v>204</v>
      </c>
      <c r="H16" s="24" t="s">
        <v>205</v>
      </c>
      <c r="I16" s="24" t="s">
        <v>206</v>
      </c>
      <c r="J16" s="24" t="s">
        <v>207</v>
      </c>
      <c r="K16" s="24" t="s">
        <v>208</v>
      </c>
      <c r="L16" s="27" t="s">
        <v>209</v>
      </c>
      <c r="M16" s="28" t="s">
        <v>14</v>
      </c>
      <c r="N16" s="27" t="s">
        <v>1884</v>
      </c>
      <c r="O16" s="27" t="s">
        <v>112</v>
      </c>
      <c r="P16" s="29" t="s">
        <v>113</v>
      </c>
      <c r="Q16" s="27" t="s">
        <v>121</v>
      </c>
    </row>
    <row r="17" spans="1:17" x14ac:dyDescent="0.25">
      <c r="A17" s="30" t="s">
        <v>1899</v>
      </c>
      <c r="B17" s="27" t="s">
        <v>38</v>
      </c>
      <c r="C17" s="27" t="s">
        <v>192</v>
      </c>
      <c r="D17" s="27" t="s">
        <v>102</v>
      </c>
      <c r="E17" s="28" t="s">
        <v>167</v>
      </c>
      <c r="F17" s="36" t="s">
        <v>104</v>
      </c>
      <c r="G17" s="27" t="s">
        <v>211</v>
      </c>
      <c r="H17" s="27" t="s">
        <v>108</v>
      </c>
      <c r="I17" s="27" t="s">
        <v>212</v>
      </c>
      <c r="J17" s="27" t="s">
        <v>108</v>
      </c>
      <c r="K17" s="27" t="s">
        <v>213</v>
      </c>
      <c r="L17" s="27" t="s">
        <v>214</v>
      </c>
      <c r="M17" s="28" t="s">
        <v>14</v>
      </c>
      <c r="N17" s="27" t="s">
        <v>1884</v>
      </c>
      <c r="O17" s="27" t="s">
        <v>112</v>
      </c>
      <c r="P17" s="29" t="s">
        <v>113</v>
      </c>
      <c r="Q17" s="27" t="s">
        <v>121</v>
      </c>
    </row>
    <row r="18" spans="1:17" x14ac:dyDescent="0.25">
      <c r="A18" s="23" t="s">
        <v>1900</v>
      </c>
      <c r="B18" s="24" t="s">
        <v>38</v>
      </c>
      <c r="C18" s="24" t="s">
        <v>192</v>
      </c>
      <c r="D18" s="24" t="s">
        <v>102</v>
      </c>
      <c r="E18" s="25" t="s">
        <v>167</v>
      </c>
      <c r="F18" s="26" t="s">
        <v>104</v>
      </c>
      <c r="G18" s="24" t="s">
        <v>216</v>
      </c>
      <c r="H18" s="24" t="s">
        <v>108</v>
      </c>
      <c r="I18" s="24" t="s">
        <v>217</v>
      </c>
      <c r="J18" s="24" t="s">
        <v>218</v>
      </c>
      <c r="K18" s="24" t="s">
        <v>219</v>
      </c>
      <c r="L18" s="27" t="s">
        <v>220</v>
      </c>
      <c r="M18" s="28" t="s">
        <v>14</v>
      </c>
      <c r="N18" s="27" t="s">
        <v>1884</v>
      </c>
      <c r="O18" s="27" t="s">
        <v>112</v>
      </c>
      <c r="P18" s="29" t="s">
        <v>113</v>
      </c>
      <c r="Q18" s="27" t="s">
        <v>121</v>
      </c>
    </row>
    <row r="19" spans="1:17" x14ac:dyDescent="0.25">
      <c r="A19" s="30" t="s">
        <v>1901</v>
      </c>
      <c r="B19" s="27" t="s">
        <v>38</v>
      </c>
      <c r="C19" s="27" t="s">
        <v>192</v>
      </c>
      <c r="D19" s="27" t="s">
        <v>102</v>
      </c>
      <c r="E19" s="28" t="s">
        <v>167</v>
      </c>
      <c r="F19" s="36" t="s">
        <v>104</v>
      </c>
      <c r="G19" s="27" t="s">
        <v>222</v>
      </c>
      <c r="H19" s="27" t="s">
        <v>108</v>
      </c>
      <c r="I19" s="27" t="s">
        <v>223</v>
      </c>
      <c r="J19" s="27" t="s">
        <v>224</v>
      </c>
      <c r="K19" s="27" t="s">
        <v>225</v>
      </c>
      <c r="L19" s="27" t="s">
        <v>226</v>
      </c>
      <c r="M19" s="28" t="s">
        <v>14</v>
      </c>
      <c r="N19" s="27" t="s">
        <v>1884</v>
      </c>
      <c r="O19" s="27" t="s">
        <v>112</v>
      </c>
      <c r="P19" s="29" t="s">
        <v>113</v>
      </c>
      <c r="Q19" s="27" t="s">
        <v>121</v>
      </c>
    </row>
    <row r="20" spans="1:17" x14ac:dyDescent="0.25">
      <c r="A20" s="23" t="s">
        <v>1902</v>
      </c>
      <c r="B20" s="24" t="s">
        <v>38</v>
      </c>
      <c r="C20" s="24" t="s">
        <v>192</v>
      </c>
      <c r="D20" s="24" t="s">
        <v>102</v>
      </c>
      <c r="E20" s="25" t="s">
        <v>167</v>
      </c>
      <c r="F20" s="26" t="s">
        <v>104</v>
      </c>
      <c r="G20" s="24" t="s">
        <v>228</v>
      </c>
      <c r="H20" s="24" t="s">
        <v>108</v>
      </c>
      <c r="I20" s="24" t="s">
        <v>229</v>
      </c>
      <c r="J20" s="24" t="s">
        <v>230</v>
      </c>
      <c r="K20" s="24" t="s">
        <v>231</v>
      </c>
      <c r="L20" s="27" t="s">
        <v>232</v>
      </c>
      <c r="M20" s="28" t="s">
        <v>14</v>
      </c>
      <c r="N20" s="27" t="s">
        <v>1884</v>
      </c>
      <c r="O20" s="27" t="s">
        <v>112</v>
      </c>
      <c r="P20" s="29" t="s">
        <v>113</v>
      </c>
      <c r="Q20" s="27" t="s">
        <v>121</v>
      </c>
    </row>
    <row r="21" spans="1:17" x14ac:dyDescent="0.25">
      <c r="A21" s="30" t="s">
        <v>1903</v>
      </c>
      <c r="B21" s="27" t="s">
        <v>38</v>
      </c>
      <c r="C21" s="27" t="s">
        <v>192</v>
      </c>
      <c r="D21" s="27" t="s">
        <v>234</v>
      </c>
      <c r="E21" s="28" t="s">
        <v>167</v>
      </c>
      <c r="F21" s="36" t="s">
        <v>104</v>
      </c>
      <c r="G21" s="27" t="s">
        <v>235</v>
      </c>
      <c r="H21" s="27" t="s">
        <v>236</v>
      </c>
      <c r="I21" s="27" t="s">
        <v>237</v>
      </c>
      <c r="J21" s="27" t="s">
        <v>238</v>
      </c>
      <c r="K21" s="27" t="s">
        <v>239</v>
      </c>
      <c r="L21" s="27" t="s">
        <v>240</v>
      </c>
      <c r="M21" s="28" t="s">
        <v>14</v>
      </c>
      <c r="N21" s="27" t="s">
        <v>1884</v>
      </c>
      <c r="O21" s="27" t="s">
        <v>112</v>
      </c>
      <c r="P21" s="29" t="s">
        <v>113</v>
      </c>
      <c r="Q21" s="27" t="s">
        <v>241</v>
      </c>
    </row>
    <row r="22" spans="1:17" x14ac:dyDescent="0.25">
      <c r="A22" s="23" t="s">
        <v>1904</v>
      </c>
      <c r="B22" s="24" t="s">
        <v>38</v>
      </c>
      <c r="C22" s="24" t="s">
        <v>192</v>
      </c>
      <c r="D22" s="24" t="s">
        <v>234</v>
      </c>
      <c r="E22" s="25" t="s">
        <v>167</v>
      </c>
      <c r="F22" s="26" t="s">
        <v>104</v>
      </c>
      <c r="G22" s="24" t="s">
        <v>243</v>
      </c>
      <c r="H22" s="24" t="s">
        <v>244</v>
      </c>
      <c r="I22" s="24" t="s">
        <v>245</v>
      </c>
      <c r="J22" s="24" t="s">
        <v>246</v>
      </c>
      <c r="K22" s="24" t="s">
        <v>247</v>
      </c>
      <c r="L22" s="27" t="s">
        <v>248</v>
      </c>
      <c r="M22" s="28" t="s">
        <v>14</v>
      </c>
      <c r="N22" s="27" t="s">
        <v>1884</v>
      </c>
      <c r="O22" s="27" t="s">
        <v>112</v>
      </c>
      <c r="P22" s="29" t="s">
        <v>113</v>
      </c>
      <c r="Q22" s="27" t="s">
        <v>249</v>
      </c>
    </row>
    <row r="23" spans="1:17" x14ac:dyDescent="0.25">
      <c r="A23" s="30" t="s">
        <v>1905</v>
      </c>
      <c r="B23" s="27" t="s">
        <v>38</v>
      </c>
      <c r="C23" s="27" t="s">
        <v>192</v>
      </c>
      <c r="D23" s="27" t="s">
        <v>234</v>
      </c>
      <c r="E23" s="28" t="s">
        <v>167</v>
      </c>
      <c r="F23" s="36" t="s">
        <v>104</v>
      </c>
      <c r="G23" s="27" t="s">
        <v>251</v>
      </c>
      <c r="H23" s="27" t="s">
        <v>252</v>
      </c>
      <c r="I23" s="27" t="s">
        <v>245</v>
      </c>
      <c r="J23" s="27" t="s">
        <v>253</v>
      </c>
      <c r="K23" s="27" t="s">
        <v>254</v>
      </c>
      <c r="L23" s="27" t="s">
        <v>255</v>
      </c>
      <c r="M23" s="28" t="s">
        <v>14</v>
      </c>
      <c r="N23" s="27" t="s">
        <v>1884</v>
      </c>
      <c r="O23" s="27" t="s">
        <v>112</v>
      </c>
      <c r="P23" s="29" t="s">
        <v>113</v>
      </c>
      <c r="Q23" s="27" t="s">
        <v>256</v>
      </c>
    </row>
    <row r="24" spans="1:17" x14ac:dyDescent="0.25">
      <c r="A24" s="23" t="s">
        <v>1906</v>
      </c>
      <c r="B24" s="24" t="s">
        <v>38</v>
      </c>
      <c r="C24" s="24" t="s">
        <v>192</v>
      </c>
      <c r="D24" s="24" t="s">
        <v>234</v>
      </c>
      <c r="E24" s="25" t="s">
        <v>103</v>
      </c>
      <c r="F24" s="34" t="s">
        <v>116</v>
      </c>
      <c r="G24" s="24" t="s">
        <v>258</v>
      </c>
      <c r="H24" s="24" t="s">
        <v>259</v>
      </c>
      <c r="I24" s="24" t="s">
        <v>260</v>
      </c>
      <c r="J24" s="24" t="s">
        <v>108</v>
      </c>
      <c r="K24" s="24" t="s">
        <v>261</v>
      </c>
      <c r="L24" s="27" t="s">
        <v>262</v>
      </c>
      <c r="M24" s="28" t="s">
        <v>14</v>
      </c>
      <c r="N24" s="27" t="s">
        <v>1884</v>
      </c>
      <c r="O24" s="27" t="s">
        <v>112</v>
      </c>
      <c r="P24" s="29" t="s">
        <v>113</v>
      </c>
      <c r="Q24" s="27" t="s">
        <v>263</v>
      </c>
    </row>
    <row r="25" spans="1:17" x14ac:dyDescent="0.25">
      <c r="A25" s="30" t="s">
        <v>1907</v>
      </c>
      <c r="B25" s="27" t="s">
        <v>38</v>
      </c>
      <c r="C25" s="27" t="s">
        <v>192</v>
      </c>
      <c r="D25" s="27" t="s">
        <v>234</v>
      </c>
      <c r="E25" s="28" t="s">
        <v>103</v>
      </c>
      <c r="F25" s="35" t="s">
        <v>194</v>
      </c>
      <c r="G25" s="27" t="s">
        <v>265</v>
      </c>
      <c r="H25" s="27" t="s">
        <v>266</v>
      </c>
      <c r="I25" s="27" t="s">
        <v>267</v>
      </c>
      <c r="J25" s="27" t="s">
        <v>268</v>
      </c>
      <c r="K25" s="27" t="s">
        <v>269</v>
      </c>
      <c r="L25" s="27" t="s">
        <v>270</v>
      </c>
      <c r="M25" s="28" t="s">
        <v>14</v>
      </c>
      <c r="N25" s="27" t="s">
        <v>1884</v>
      </c>
      <c r="O25" s="27" t="s">
        <v>112</v>
      </c>
      <c r="P25" s="29" t="s">
        <v>113</v>
      </c>
      <c r="Q25" s="27" t="s">
        <v>271</v>
      </c>
    </row>
    <row r="26" spans="1:17" x14ac:dyDescent="0.25">
      <c r="A26" s="23" t="s">
        <v>1908</v>
      </c>
      <c r="B26" s="24" t="s">
        <v>38</v>
      </c>
      <c r="C26" s="24" t="s">
        <v>192</v>
      </c>
      <c r="D26" s="24" t="s">
        <v>102</v>
      </c>
      <c r="E26" s="25" t="s">
        <v>141</v>
      </c>
      <c r="F26" s="34" t="s">
        <v>116</v>
      </c>
      <c r="G26" s="24" t="s">
        <v>273</v>
      </c>
      <c r="H26" s="24" t="s">
        <v>108</v>
      </c>
      <c r="I26" s="24" t="s">
        <v>274</v>
      </c>
      <c r="J26" s="24" t="s">
        <v>108</v>
      </c>
      <c r="K26" s="24" t="s">
        <v>275</v>
      </c>
      <c r="L26" s="27" t="s">
        <v>276</v>
      </c>
      <c r="M26" s="28" t="s">
        <v>14</v>
      </c>
      <c r="N26" s="27" t="s">
        <v>1884</v>
      </c>
      <c r="O26" s="27" t="s">
        <v>112</v>
      </c>
      <c r="P26" s="29" t="s">
        <v>113</v>
      </c>
      <c r="Q26" s="27" t="s">
        <v>121</v>
      </c>
    </row>
    <row r="27" spans="1:17" x14ac:dyDescent="0.25">
      <c r="A27" s="30" t="s">
        <v>1909</v>
      </c>
      <c r="B27" s="27" t="s">
        <v>38</v>
      </c>
      <c r="C27" s="27" t="s">
        <v>192</v>
      </c>
      <c r="D27" s="27" t="s">
        <v>102</v>
      </c>
      <c r="E27" s="28" t="s">
        <v>141</v>
      </c>
      <c r="F27" s="33" t="s">
        <v>134</v>
      </c>
      <c r="G27" s="27" t="s">
        <v>278</v>
      </c>
      <c r="H27" s="27" t="s">
        <v>108</v>
      </c>
      <c r="I27" s="27" t="s">
        <v>279</v>
      </c>
      <c r="J27" s="27" t="s">
        <v>108</v>
      </c>
      <c r="K27" s="27" t="s">
        <v>280</v>
      </c>
      <c r="L27" s="27" t="s">
        <v>281</v>
      </c>
      <c r="M27" s="28" t="s">
        <v>14</v>
      </c>
      <c r="N27" s="27" t="s">
        <v>1884</v>
      </c>
      <c r="O27" s="27" t="s">
        <v>112</v>
      </c>
      <c r="P27" s="29" t="s">
        <v>113</v>
      </c>
      <c r="Q27" s="27" t="s">
        <v>121</v>
      </c>
    </row>
    <row r="28" spans="1:17" x14ac:dyDescent="0.25">
      <c r="A28" s="23" t="s">
        <v>1910</v>
      </c>
      <c r="B28" s="24" t="s">
        <v>38</v>
      </c>
      <c r="C28" s="24" t="s">
        <v>192</v>
      </c>
      <c r="D28" s="24" t="s">
        <v>102</v>
      </c>
      <c r="E28" s="25" t="s">
        <v>103</v>
      </c>
      <c r="F28" s="34" t="s">
        <v>116</v>
      </c>
      <c r="G28" s="24" t="s">
        <v>283</v>
      </c>
      <c r="H28" s="24" t="s">
        <v>108</v>
      </c>
      <c r="I28" s="24" t="s">
        <v>284</v>
      </c>
      <c r="J28" s="24" t="s">
        <v>108</v>
      </c>
      <c r="K28" s="24" t="s">
        <v>285</v>
      </c>
      <c r="L28" s="27" t="s">
        <v>286</v>
      </c>
      <c r="M28" s="28" t="s">
        <v>14</v>
      </c>
      <c r="N28" s="27" t="s">
        <v>1884</v>
      </c>
      <c r="O28" s="27" t="s">
        <v>112</v>
      </c>
      <c r="P28" s="29" t="s">
        <v>113</v>
      </c>
      <c r="Q28" s="27" t="s">
        <v>121</v>
      </c>
    </row>
    <row r="29" spans="1:17" x14ac:dyDescent="0.25">
      <c r="A29" s="30" t="s">
        <v>1911</v>
      </c>
      <c r="B29" s="27" t="s">
        <v>38</v>
      </c>
      <c r="C29" s="27" t="s">
        <v>192</v>
      </c>
      <c r="D29" s="27" t="s">
        <v>102</v>
      </c>
      <c r="E29" s="28" t="s">
        <v>288</v>
      </c>
      <c r="F29" s="36" t="s">
        <v>104</v>
      </c>
      <c r="G29" s="27" t="s">
        <v>289</v>
      </c>
      <c r="H29" s="27" t="s">
        <v>108</v>
      </c>
      <c r="I29" s="27" t="s">
        <v>290</v>
      </c>
      <c r="J29" s="27" t="s">
        <v>108</v>
      </c>
      <c r="K29" s="27" t="s">
        <v>291</v>
      </c>
      <c r="L29" s="27" t="s">
        <v>292</v>
      </c>
      <c r="M29" s="28" t="s">
        <v>14</v>
      </c>
      <c r="N29" s="27" t="s">
        <v>1884</v>
      </c>
      <c r="O29" s="27" t="s">
        <v>112</v>
      </c>
      <c r="P29" s="29" t="s">
        <v>113</v>
      </c>
      <c r="Q29" s="27" t="s">
        <v>293</v>
      </c>
    </row>
    <row r="30" spans="1:17" x14ac:dyDescent="0.25">
      <c r="A30" s="23" t="s">
        <v>1912</v>
      </c>
      <c r="B30" s="24" t="s">
        <v>38</v>
      </c>
      <c r="C30" s="24" t="s">
        <v>192</v>
      </c>
      <c r="D30" s="24" t="s">
        <v>102</v>
      </c>
      <c r="E30" s="25" t="s">
        <v>103</v>
      </c>
      <c r="F30" s="34" t="s">
        <v>116</v>
      </c>
      <c r="G30" s="24" t="s">
        <v>295</v>
      </c>
      <c r="H30" s="24" t="s">
        <v>108</v>
      </c>
      <c r="I30" s="24" t="s">
        <v>296</v>
      </c>
      <c r="J30" s="24" t="s">
        <v>108</v>
      </c>
      <c r="K30" s="24" t="s">
        <v>297</v>
      </c>
      <c r="L30" s="27" t="s">
        <v>298</v>
      </c>
      <c r="M30" s="28" t="s">
        <v>14</v>
      </c>
      <c r="N30" s="27" t="s">
        <v>1884</v>
      </c>
      <c r="O30" s="27" t="s">
        <v>112</v>
      </c>
      <c r="P30" s="29" t="s">
        <v>113</v>
      </c>
      <c r="Q30" s="27" t="s">
        <v>121</v>
      </c>
    </row>
    <row r="31" spans="1:17" x14ac:dyDescent="0.25">
      <c r="A31" s="30" t="s">
        <v>1913</v>
      </c>
      <c r="B31" s="27" t="s">
        <v>38</v>
      </c>
      <c r="C31" s="27" t="s">
        <v>192</v>
      </c>
      <c r="D31" s="27" t="s">
        <v>102</v>
      </c>
      <c r="E31" s="28" t="s">
        <v>288</v>
      </c>
      <c r="F31" s="31" t="s">
        <v>116</v>
      </c>
      <c r="G31" s="27" t="s">
        <v>300</v>
      </c>
      <c r="H31" s="27" t="s">
        <v>108</v>
      </c>
      <c r="I31" s="27" t="s">
        <v>301</v>
      </c>
      <c r="J31" s="27" t="s">
        <v>302</v>
      </c>
      <c r="K31" s="27" t="s">
        <v>303</v>
      </c>
      <c r="L31" s="27" t="s">
        <v>304</v>
      </c>
      <c r="M31" s="28" t="s">
        <v>14</v>
      </c>
      <c r="N31" s="27" t="s">
        <v>1884</v>
      </c>
      <c r="O31" s="27" t="s">
        <v>112</v>
      </c>
      <c r="P31" s="29" t="s">
        <v>113</v>
      </c>
      <c r="Q31" s="27" t="s">
        <v>305</v>
      </c>
    </row>
    <row r="32" spans="1:17" x14ac:dyDescent="0.25">
      <c r="A32" s="23" t="s">
        <v>1914</v>
      </c>
      <c r="B32" s="24" t="s">
        <v>38</v>
      </c>
      <c r="C32" s="24" t="s">
        <v>192</v>
      </c>
      <c r="D32" s="24" t="s">
        <v>102</v>
      </c>
      <c r="E32" s="25" t="s">
        <v>103</v>
      </c>
      <c r="F32" s="32" t="s">
        <v>134</v>
      </c>
      <c r="G32" s="24" t="s">
        <v>307</v>
      </c>
      <c r="H32" s="24" t="s">
        <v>108</v>
      </c>
      <c r="I32" s="24" t="s">
        <v>308</v>
      </c>
      <c r="J32" s="24" t="s">
        <v>108</v>
      </c>
      <c r="K32" s="24" t="s">
        <v>309</v>
      </c>
      <c r="L32" s="27" t="s">
        <v>310</v>
      </c>
      <c r="M32" s="28" t="s">
        <v>14</v>
      </c>
      <c r="N32" s="27" t="s">
        <v>1884</v>
      </c>
      <c r="O32" s="27" t="s">
        <v>112</v>
      </c>
      <c r="P32" s="29" t="s">
        <v>113</v>
      </c>
      <c r="Q32" s="27" t="s">
        <v>121</v>
      </c>
    </row>
    <row r="33" spans="1:17" x14ac:dyDescent="0.25">
      <c r="A33" s="30" t="s">
        <v>1915</v>
      </c>
      <c r="B33" s="27" t="s">
        <v>39</v>
      </c>
      <c r="C33" s="27" t="s">
        <v>312</v>
      </c>
      <c r="D33" s="27" t="s">
        <v>102</v>
      </c>
      <c r="E33" s="28" t="s">
        <v>167</v>
      </c>
      <c r="F33" s="36" t="s">
        <v>104</v>
      </c>
      <c r="G33" s="27" t="s">
        <v>313</v>
      </c>
      <c r="H33" s="27" t="s">
        <v>108</v>
      </c>
      <c r="I33" s="27" t="s">
        <v>314</v>
      </c>
      <c r="J33" s="27" t="s">
        <v>108</v>
      </c>
      <c r="K33" s="27" t="s">
        <v>315</v>
      </c>
      <c r="L33" s="27" t="s">
        <v>316</v>
      </c>
      <c r="M33" s="28" t="s">
        <v>14</v>
      </c>
      <c r="N33" s="27" t="s">
        <v>1884</v>
      </c>
      <c r="O33" s="27" t="s">
        <v>112</v>
      </c>
      <c r="P33" s="29" t="s">
        <v>113</v>
      </c>
      <c r="Q33" s="27" t="s">
        <v>121</v>
      </c>
    </row>
    <row r="34" spans="1:17" x14ac:dyDescent="0.25">
      <c r="A34" s="23" t="s">
        <v>1916</v>
      </c>
      <c r="B34" s="24" t="s">
        <v>39</v>
      </c>
      <c r="C34" s="24" t="s">
        <v>312</v>
      </c>
      <c r="D34" s="24" t="s">
        <v>102</v>
      </c>
      <c r="E34" s="25" t="s">
        <v>167</v>
      </c>
      <c r="F34" s="26" t="s">
        <v>104</v>
      </c>
      <c r="G34" s="24" t="s">
        <v>318</v>
      </c>
      <c r="H34" s="24" t="s">
        <v>108</v>
      </c>
      <c r="I34" s="24" t="s">
        <v>319</v>
      </c>
      <c r="J34" s="24" t="s">
        <v>320</v>
      </c>
      <c r="K34" s="24" t="s">
        <v>321</v>
      </c>
      <c r="L34" s="27" t="s">
        <v>322</v>
      </c>
      <c r="M34" s="28" t="s">
        <v>14</v>
      </c>
      <c r="N34" s="27" t="s">
        <v>1884</v>
      </c>
      <c r="O34" s="27" t="s">
        <v>112</v>
      </c>
      <c r="P34" s="29" t="s">
        <v>113</v>
      </c>
      <c r="Q34" s="27" t="s">
        <v>121</v>
      </c>
    </row>
    <row r="35" spans="1:17" x14ac:dyDescent="0.25">
      <c r="A35" s="30" t="s">
        <v>1917</v>
      </c>
      <c r="B35" s="27" t="s">
        <v>39</v>
      </c>
      <c r="C35" s="27" t="s">
        <v>312</v>
      </c>
      <c r="D35" s="27" t="s">
        <v>102</v>
      </c>
      <c r="E35" s="28" t="s">
        <v>103</v>
      </c>
      <c r="F35" s="35" t="s">
        <v>194</v>
      </c>
      <c r="G35" s="27" t="s">
        <v>324</v>
      </c>
      <c r="H35" s="27" t="s">
        <v>325</v>
      </c>
      <c r="I35" s="27" t="s">
        <v>326</v>
      </c>
      <c r="J35" s="27" t="s">
        <v>327</v>
      </c>
      <c r="K35" s="27" t="s">
        <v>328</v>
      </c>
      <c r="L35" s="27" t="s">
        <v>329</v>
      </c>
      <c r="M35" s="28" t="s">
        <v>14</v>
      </c>
      <c r="N35" s="27" t="s">
        <v>1884</v>
      </c>
      <c r="O35" s="27" t="s">
        <v>112</v>
      </c>
      <c r="P35" s="29" t="s">
        <v>113</v>
      </c>
      <c r="Q35" s="27" t="s">
        <v>330</v>
      </c>
    </row>
    <row r="36" spans="1:17" x14ac:dyDescent="0.25">
      <c r="A36" s="23" t="s">
        <v>1918</v>
      </c>
      <c r="B36" s="24" t="s">
        <v>39</v>
      </c>
      <c r="C36" s="24" t="s">
        <v>312</v>
      </c>
      <c r="D36" s="24" t="s">
        <v>102</v>
      </c>
      <c r="E36" s="25" t="s">
        <v>103</v>
      </c>
      <c r="F36" s="34" t="s">
        <v>116</v>
      </c>
      <c r="G36" s="24" t="s">
        <v>332</v>
      </c>
      <c r="H36" s="24" t="s">
        <v>333</v>
      </c>
      <c r="I36" s="24" t="s">
        <v>334</v>
      </c>
      <c r="J36" s="24" t="s">
        <v>108</v>
      </c>
      <c r="K36" s="24" t="s">
        <v>335</v>
      </c>
      <c r="L36" s="27" t="s">
        <v>336</v>
      </c>
      <c r="M36" s="28" t="s">
        <v>14</v>
      </c>
      <c r="N36" s="27" t="s">
        <v>1884</v>
      </c>
      <c r="O36" s="27" t="s">
        <v>112</v>
      </c>
      <c r="P36" s="29" t="s">
        <v>113</v>
      </c>
      <c r="Q36" s="27" t="s">
        <v>121</v>
      </c>
    </row>
    <row r="37" spans="1:17" x14ac:dyDescent="0.25">
      <c r="A37" s="30" t="s">
        <v>1919</v>
      </c>
      <c r="B37" s="27" t="s">
        <v>39</v>
      </c>
      <c r="C37" s="27" t="s">
        <v>312</v>
      </c>
      <c r="D37" s="27" t="s">
        <v>102</v>
      </c>
      <c r="E37" s="28" t="s">
        <v>288</v>
      </c>
      <c r="F37" s="31" t="s">
        <v>116</v>
      </c>
      <c r="G37" s="27" t="s">
        <v>338</v>
      </c>
      <c r="H37" s="27" t="s">
        <v>108</v>
      </c>
      <c r="I37" s="27" t="s">
        <v>339</v>
      </c>
      <c r="J37" s="27" t="s">
        <v>108</v>
      </c>
      <c r="K37" s="27" t="s">
        <v>340</v>
      </c>
      <c r="L37" s="27" t="s">
        <v>341</v>
      </c>
      <c r="M37" s="28" t="s">
        <v>14</v>
      </c>
      <c r="N37" s="27" t="s">
        <v>1884</v>
      </c>
      <c r="O37" s="27" t="s">
        <v>112</v>
      </c>
      <c r="P37" s="29" t="s">
        <v>113</v>
      </c>
      <c r="Q37" s="27" t="s">
        <v>342</v>
      </c>
    </row>
    <row r="38" spans="1:17" x14ac:dyDescent="0.25">
      <c r="A38" s="23" t="s">
        <v>1920</v>
      </c>
      <c r="B38" s="24" t="s">
        <v>39</v>
      </c>
      <c r="C38" s="24" t="s">
        <v>312</v>
      </c>
      <c r="D38" s="24" t="s">
        <v>102</v>
      </c>
      <c r="E38" s="25" t="s">
        <v>288</v>
      </c>
      <c r="F38" s="26" t="s">
        <v>104</v>
      </c>
      <c r="G38" s="24" t="s">
        <v>344</v>
      </c>
      <c r="H38" s="24" t="s">
        <v>108</v>
      </c>
      <c r="I38" s="24" t="s">
        <v>345</v>
      </c>
      <c r="J38" s="24" t="s">
        <v>108</v>
      </c>
      <c r="K38" s="24" t="s">
        <v>346</v>
      </c>
      <c r="L38" s="27" t="s">
        <v>347</v>
      </c>
      <c r="M38" s="28" t="s">
        <v>14</v>
      </c>
      <c r="N38" s="27" t="s">
        <v>1884</v>
      </c>
      <c r="O38" s="27" t="s">
        <v>112</v>
      </c>
      <c r="P38" s="29" t="s">
        <v>113</v>
      </c>
      <c r="Q38" s="27" t="s">
        <v>348</v>
      </c>
    </row>
    <row r="39" spans="1:17" x14ac:dyDescent="0.25">
      <c r="A39" s="30" t="s">
        <v>1921</v>
      </c>
      <c r="B39" s="27" t="s">
        <v>39</v>
      </c>
      <c r="C39" s="27" t="s">
        <v>350</v>
      </c>
      <c r="D39" s="27" t="s">
        <v>102</v>
      </c>
      <c r="E39" s="28" t="s">
        <v>167</v>
      </c>
      <c r="F39" s="36" t="s">
        <v>104</v>
      </c>
      <c r="G39" s="27" t="s">
        <v>351</v>
      </c>
      <c r="H39" s="27" t="s">
        <v>108</v>
      </c>
      <c r="I39" s="27" t="s">
        <v>352</v>
      </c>
      <c r="J39" s="27" t="s">
        <v>108</v>
      </c>
      <c r="K39" s="27" t="s">
        <v>353</v>
      </c>
      <c r="L39" s="27" t="s">
        <v>354</v>
      </c>
      <c r="M39" s="28" t="s">
        <v>14</v>
      </c>
      <c r="N39" s="27" t="s">
        <v>1884</v>
      </c>
      <c r="O39" s="27" t="s">
        <v>112</v>
      </c>
      <c r="P39" s="29" t="s">
        <v>113</v>
      </c>
      <c r="Q39" s="27" t="s">
        <v>121</v>
      </c>
    </row>
    <row r="40" spans="1:17" x14ac:dyDescent="0.25">
      <c r="A40" s="23" t="s">
        <v>1922</v>
      </c>
      <c r="B40" s="24" t="s">
        <v>39</v>
      </c>
      <c r="C40" s="24" t="s">
        <v>350</v>
      </c>
      <c r="D40" s="24" t="s">
        <v>102</v>
      </c>
      <c r="E40" s="25" t="s">
        <v>167</v>
      </c>
      <c r="F40" s="26" t="s">
        <v>104</v>
      </c>
      <c r="G40" s="24" t="s">
        <v>356</v>
      </c>
      <c r="H40" s="24" t="s">
        <v>357</v>
      </c>
      <c r="I40" s="24" t="s">
        <v>358</v>
      </c>
      <c r="J40" s="24" t="s">
        <v>359</v>
      </c>
      <c r="K40" s="24" t="s">
        <v>360</v>
      </c>
      <c r="L40" s="27" t="s">
        <v>361</v>
      </c>
      <c r="M40" s="28" t="s">
        <v>14</v>
      </c>
      <c r="N40" s="27" t="s">
        <v>1884</v>
      </c>
      <c r="O40" s="27" t="s">
        <v>112</v>
      </c>
      <c r="P40" s="29" t="s">
        <v>113</v>
      </c>
      <c r="Q40" s="27" t="s">
        <v>121</v>
      </c>
    </row>
    <row r="41" spans="1:17" x14ac:dyDescent="0.25">
      <c r="A41" s="30" t="s">
        <v>1923</v>
      </c>
      <c r="B41" s="27" t="s">
        <v>39</v>
      </c>
      <c r="C41" s="27" t="s">
        <v>350</v>
      </c>
      <c r="D41" s="27" t="s">
        <v>102</v>
      </c>
      <c r="E41" s="28" t="s">
        <v>167</v>
      </c>
      <c r="F41" s="36" t="s">
        <v>104</v>
      </c>
      <c r="G41" s="27" t="s">
        <v>363</v>
      </c>
      <c r="H41" s="27" t="s">
        <v>357</v>
      </c>
      <c r="I41" s="27" t="s">
        <v>364</v>
      </c>
      <c r="J41" s="27" t="s">
        <v>365</v>
      </c>
      <c r="K41" s="27" t="s">
        <v>366</v>
      </c>
      <c r="L41" s="27" t="s">
        <v>367</v>
      </c>
      <c r="M41" s="28" t="s">
        <v>14</v>
      </c>
      <c r="N41" s="27" t="s">
        <v>1884</v>
      </c>
      <c r="O41" s="27" t="s">
        <v>112</v>
      </c>
      <c r="P41" s="29" t="s">
        <v>113</v>
      </c>
      <c r="Q41" s="27" t="s">
        <v>121</v>
      </c>
    </row>
    <row r="42" spans="1:17" x14ac:dyDescent="0.25">
      <c r="A42" s="23" t="s">
        <v>1924</v>
      </c>
      <c r="B42" s="24" t="s">
        <v>39</v>
      </c>
      <c r="C42" s="24" t="s">
        <v>350</v>
      </c>
      <c r="D42" s="24" t="s">
        <v>102</v>
      </c>
      <c r="E42" s="25" t="s">
        <v>167</v>
      </c>
      <c r="F42" s="26" t="s">
        <v>104</v>
      </c>
      <c r="G42" s="24" t="s">
        <v>369</v>
      </c>
      <c r="H42" s="24" t="s">
        <v>357</v>
      </c>
      <c r="I42" s="24" t="s">
        <v>370</v>
      </c>
      <c r="J42" s="24" t="s">
        <v>108</v>
      </c>
      <c r="K42" s="24" t="s">
        <v>366</v>
      </c>
      <c r="L42" s="27" t="s">
        <v>367</v>
      </c>
      <c r="M42" s="28" t="s">
        <v>14</v>
      </c>
      <c r="N42" s="27" t="s">
        <v>1884</v>
      </c>
      <c r="O42" s="27" t="s">
        <v>112</v>
      </c>
      <c r="P42" s="29" t="s">
        <v>113</v>
      </c>
      <c r="Q42" s="27" t="s">
        <v>121</v>
      </c>
    </row>
    <row r="43" spans="1:17" x14ac:dyDescent="0.25">
      <c r="A43" s="30" t="s">
        <v>1925</v>
      </c>
      <c r="B43" s="27" t="s">
        <v>39</v>
      </c>
      <c r="C43" s="27" t="s">
        <v>350</v>
      </c>
      <c r="D43" s="27" t="s">
        <v>102</v>
      </c>
      <c r="E43" s="28" t="s">
        <v>167</v>
      </c>
      <c r="F43" s="31" t="s">
        <v>116</v>
      </c>
      <c r="G43" s="27" t="s">
        <v>372</v>
      </c>
      <c r="H43" s="27" t="s">
        <v>373</v>
      </c>
      <c r="I43" s="27" t="s">
        <v>374</v>
      </c>
      <c r="J43" s="27" t="s">
        <v>108</v>
      </c>
      <c r="K43" s="27" t="s">
        <v>375</v>
      </c>
      <c r="L43" s="27" t="s">
        <v>376</v>
      </c>
      <c r="M43" s="28" t="s">
        <v>14</v>
      </c>
      <c r="N43" s="27" t="s">
        <v>1884</v>
      </c>
      <c r="O43" s="27" t="s">
        <v>112</v>
      </c>
      <c r="P43" s="29" t="s">
        <v>113</v>
      </c>
      <c r="Q43" s="27" t="s">
        <v>121</v>
      </c>
    </row>
    <row r="44" spans="1:17" x14ac:dyDescent="0.25">
      <c r="A44" s="23" t="s">
        <v>1926</v>
      </c>
      <c r="B44" s="24" t="s">
        <v>39</v>
      </c>
      <c r="C44" s="24" t="s">
        <v>350</v>
      </c>
      <c r="D44" s="24" t="s">
        <v>102</v>
      </c>
      <c r="E44" s="25" t="s">
        <v>167</v>
      </c>
      <c r="F44" s="34" t="s">
        <v>116</v>
      </c>
      <c r="G44" s="24" t="s">
        <v>378</v>
      </c>
      <c r="H44" s="24" t="s">
        <v>379</v>
      </c>
      <c r="I44" s="24" t="s">
        <v>380</v>
      </c>
      <c r="J44" s="24" t="s">
        <v>108</v>
      </c>
      <c r="K44" s="24" t="s">
        <v>381</v>
      </c>
      <c r="L44" s="27" t="s">
        <v>382</v>
      </c>
      <c r="M44" s="28" t="s">
        <v>14</v>
      </c>
      <c r="N44" s="27" t="s">
        <v>1884</v>
      </c>
      <c r="O44" s="27" t="s">
        <v>112</v>
      </c>
      <c r="P44" s="29" t="s">
        <v>113</v>
      </c>
      <c r="Q44" s="27" t="s">
        <v>383</v>
      </c>
    </row>
    <row r="45" spans="1:17" x14ac:dyDescent="0.25">
      <c r="A45" s="30" t="s">
        <v>1927</v>
      </c>
      <c r="B45" s="27" t="s">
        <v>39</v>
      </c>
      <c r="C45" s="27" t="s">
        <v>350</v>
      </c>
      <c r="D45" s="27" t="s">
        <v>102</v>
      </c>
      <c r="E45" s="28" t="s">
        <v>103</v>
      </c>
      <c r="F45" s="35" t="s">
        <v>194</v>
      </c>
      <c r="G45" s="27" t="s">
        <v>385</v>
      </c>
      <c r="H45" s="27" t="s">
        <v>386</v>
      </c>
      <c r="I45" s="27" t="s">
        <v>387</v>
      </c>
      <c r="J45" s="27" t="s">
        <v>388</v>
      </c>
      <c r="K45" s="27" t="s">
        <v>389</v>
      </c>
      <c r="L45" s="27" t="s">
        <v>390</v>
      </c>
      <c r="M45" s="28" t="s">
        <v>14</v>
      </c>
      <c r="N45" s="27" t="s">
        <v>1884</v>
      </c>
      <c r="O45" s="27" t="s">
        <v>112</v>
      </c>
      <c r="P45" s="29" t="s">
        <v>113</v>
      </c>
      <c r="Q45" s="27" t="s">
        <v>121</v>
      </c>
    </row>
    <row r="46" spans="1:17" x14ac:dyDescent="0.25">
      <c r="A46" s="23" t="s">
        <v>1928</v>
      </c>
      <c r="B46" s="24" t="s">
        <v>39</v>
      </c>
      <c r="C46" s="24" t="s">
        <v>350</v>
      </c>
      <c r="D46" s="24" t="s">
        <v>102</v>
      </c>
      <c r="E46" s="25" t="s">
        <v>141</v>
      </c>
      <c r="F46" s="32" t="s">
        <v>134</v>
      </c>
      <c r="G46" s="24" t="s">
        <v>392</v>
      </c>
      <c r="H46" s="24" t="s">
        <v>108</v>
      </c>
      <c r="I46" s="24" t="s">
        <v>393</v>
      </c>
      <c r="J46" s="24" t="s">
        <v>108</v>
      </c>
      <c r="K46" s="24" t="s">
        <v>394</v>
      </c>
      <c r="L46" s="27" t="s">
        <v>395</v>
      </c>
      <c r="M46" s="28" t="s">
        <v>14</v>
      </c>
      <c r="N46" s="27" t="s">
        <v>1884</v>
      </c>
      <c r="O46" s="27" t="s">
        <v>112</v>
      </c>
      <c r="P46" s="29" t="s">
        <v>113</v>
      </c>
      <c r="Q46" s="27" t="s">
        <v>121</v>
      </c>
    </row>
    <row r="47" spans="1:17" x14ac:dyDescent="0.25">
      <c r="A47" s="30" t="s">
        <v>1929</v>
      </c>
      <c r="B47" s="27" t="s">
        <v>39</v>
      </c>
      <c r="C47" s="27" t="s">
        <v>350</v>
      </c>
      <c r="D47" s="27" t="s">
        <v>102</v>
      </c>
      <c r="E47" s="28" t="s">
        <v>103</v>
      </c>
      <c r="F47" s="33" t="s">
        <v>134</v>
      </c>
      <c r="G47" s="27" t="s">
        <v>397</v>
      </c>
      <c r="H47" s="27" t="s">
        <v>108</v>
      </c>
      <c r="I47" s="27" t="s">
        <v>398</v>
      </c>
      <c r="J47" s="27" t="s">
        <v>108</v>
      </c>
      <c r="K47" s="27" t="s">
        <v>399</v>
      </c>
      <c r="L47" s="27" t="s">
        <v>400</v>
      </c>
      <c r="M47" s="28" t="s">
        <v>14</v>
      </c>
      <c r="N47" s="27" t="s">
        <v>1884</v>
      </c>
      <c r="O47" s="27" t="s">
        <v>112</v>
      </c>
      <c r="P47" s="29" t="s">
        <v>113</v>
      </c>
      <c r="Q47" s="27" t="s">
        <v>121</v>
      </c>
    </row>
    <row r="48" spans="1:17" x14ac:dyDescent="0.25">
      <c r="A48" s="23" t="s">
        <v>1930</v>
      </c>
      <c r="B48" s="24" t="s">
        <v>39</v>
      </c>
      <c r="C48" s="24" t="s">
        <v>402</v>
      </c>
      <c r="D48" s="24" t="s">
        <v>102</v>
      </c>
      <c r="E48" s="25" t="s">
        <v>141</v>
      </c>
      <c r="F48" s="34" t="s">
        <v>116</v>
      </c>
      <c r="G48" s="24" t="s">
        <v>403</v>
      </c>
      <c r="H48" s="24" t="s">
        <v>404</v>
      </c>
      <c r="I48" s="24" t="s">
        <v>405</v>
      </c>
      <c r="J48" s="24" t="s">
        <v>108</v>
      </c>
      <c r="K48" s="24" t="s">
        <v>406</v>
      </c>
      <c r="L48" s="27" t="s">
        <v>407</v>
      </c>
      <c r="M48" s="28" t="s">
        <v>14</v>
      </c>
      <c r="N48" s="27" t="s">
        <v>1884</v>
      </c>
      <c r="O48" s="27" t="s">
        <v>112</v>
      </c>
      <c r="P48" s="29" t="s">
        <v>113</v>
      </c>
      <c r="Q48" s="27" t="s">
        <v>121</v>
      </c>
    </row>
    <row r="49" spans="1:17" x14ac:dyDescent="0.25">
      <c r="A49" s="30" t="s">
        <v>1931</v>
      </c>
      <c r="B49" s="27" t="s">
        <v>40</v>
      </c>
      <c r="C49" s="27" t="s">
        <v>409</v>
      </c>
      <c r="D49" s="27" t="s">
        <v>234</v>
      </c>
      <c r="E49" s="28" t="s">
        <v>288</v>
      </c>
      <c r="F49" s="35" t="s">
        <v>194</v>
      </c>
      <c r="G49" s="27" t="s">
        <v>410</v>
      </c>
      <c r="H49" s="27" t="s">
        <v>411</v>
      </c>
      <c r="I49" s="27" t="s">
        <v>412</v>
      </c>
      <c r="J49" s="27" t="s">
        <v>108</v>
      </c>
      <c r="K49" s="27" t="s">
        <v>413</v>
      </c>
      <c r="L49" s="27" t="s">
        <v>414</v>
      </c>
      <c r="M49" s="28" t="s">
        <v>14</v>
      </c>
      <c r="N49" s="27" t="s">
        <v>1884</v>
      </c>
      <c r="O49" s="27" t="s">
        <v>112</v>
      </c>
      <c r="P49" s="29" t="s">
        <v>113</v>
      </c>
      <c r="Q49" s="27" t="s">
        <v>415</v>
      </c>
    </row>
    <row r="50" spans="1:17" x14ac:dyDescent="0.25">
      <c r="A50" s="23" t="s">
        <v>1932</v>
      </c>
      <c r="B50" s="24" t="s">
        <v>40</v>
      </c>
      <c r="C50" s="24" t="s">
        <v>409</v>
      </c>
      <c r="D50" s="24" t="s">
        <v>234</v>
      </c>
      <c r="E50" s="25" t="s">
        <v>167</v>
      </c>
      <c r="F50" s="26" t="s">
        <v>104</v>
      </c>
      <c r="G50" s="24" t="s">
        <v>417</v>
      </c>
      <c r="H50" s="24" t="s">
        <v>418</v>
      </c>
      <c r="I50" s="24" t="s">
        <v>419</v>
      </c>
      <c r="J50" s="24" t="s">
        <v>108</v>
      </c>
      <c r="K50" s="24" t="s">
        <v>420</v>
      </c>
      <c r="L50" s="27" t="s">
        <v>421</v>
      </c>
      <c r="M50" s="28" t="s">
        <v>14</v>
      </c>
      <c r="N50" s="27" t="s">
        <v>1884</v>
      </c>
      <c r="O50" s="27" t="s">
        <v>112</v>
      </c>
      <c r="P50" s="29" t="s">
        <v>113</v>
      </c>
      <c r="Q50" s="27" t="s">
        <v>121</v>
      </c>
    </row>
    <row r="51" spans="1:17" x14ac:dyDescent="0.25">
      <c r="A51" s="30" t="s">
        <v>1933</v>
      </c>
      <c r="B51" s="27" t="s">
        <v>40</v>
      </c>
      <c r="C51" s="27" t="s">
        <v>409</v>
      </c>
      <c r="D51" s="27" t="s">
        <v>234</v>
      </c>
      <c r="E51" s="28" t="s">
        <v>167</v>
      </c>
      <c r="F51" s="36" t="s">
        <v>104</v>
      </c>
      <c r="G51" s="27" t="s">
        <v>423</v>
      </c>
      <c r="H51" s="27" t="s">
        <v>418</v>
      </c>
      <c r="I51" s="27" t="s">
        <v>424</v>
      </c>
      <c r="J51" s="27" t="s">
        <v>425</v>
      </c>
      <c r="K51" s="27" t="s">
        <v>360</v>
      </c>
      <c r="L51" s="27" t="s">
        <v>361</v>
      </c>
      <c r="M51" s="28" t="s">
        <v>14</v>
      </c>
      <c r="N51" s="27" t="s">
        <v>1884</v>
      </c>
      <c r="O51" s="27" t="s">
        <v>112</v>
      </c>
      <c r="P51" s="29" t="s">
        <v>113</v>
      </c>
      <c r="Q51" s="27" t="s">
        <v>121</v>
      </c>
    </row>
    <row r="52" spans="1:17" x14ac:dyDescent="0.25">
      <c r="A52" s="23" t="s">
        <v>1934</v>
      </c>
      <c r="B52" s="24" t="s">
        <v>40</v>
      </c>
      <c r="C52" s="24" t="s">
        <v>409</v>
      </c>
      <c r="D52" s="24" t="s">
        <v>234</v>
      </c>
      <c r="E52" s="25" t="s">
        <v>103</v>
      </c>
      <c r="F52" s="37" t="s">
        <v>194</v>
      </c>
      <c r="G52" s="24" t="s">
        <v>427</v>
      </c>
      <c r="H52" s="24" t="s">
        <v>418</v>
      </c>
      <c r="I52" s="24" t="s">
        <v>428</v>
      </c>
      <c r="J52" s="24" t="s">
        <v>429</v>
      </c>
      <c r="K52" s="24" t="s">
        <v>430</v>
      </c>
      <c r="L52" s="27" t="s">
        <v>431</v>
      </c>
      <c r="M52" s="28" t="s">
        <v>14</v>
      </c>
      <c r="N52" s="27" t="s">
        <v>1884</v>
      </c>
      <c r="O52" s="27" t="s">
        <v>112</v>
      </c>
      <c r="P52" s="29" t="s">
        <v>113</v>
      </c>
      <c r="Q52" s="27" t="s">
        <v>121</v>
      </c>
    </row>
    <row r="53" spans="1:17" x14ac:dyDescent="0.25">
      <c r="A53" s="30" t="s">
        <v>1935</v>
      </c>
      <c r="B53" s="27" t="s">
        <v>40</v>
      </c>
      <c r="C53" s="27" t="s">
        <v>409</v>
      </c>
      <c r="D53" s="27" t="s">
        <v>234</v>
      </c>
      <c r="E53" s="28" t="s">
        <v>103</v>
      </c>
      <c r="F53" s="31" t="s">
        <v>116</v>
      </c>
      <c r="G53" s="27" t="s">
        <v>433</v>
      </c>
      <c r="H53" s="27" t="s">
        <v>418</v>
      </c>
      <c r="I53" s="27" t="s">
        <v>434</v>
      </c>
      <c r="J53" s="27" t="s">
        <v>108</v>
      </c>
      <c r="K53" s="27" t="s">
        <v>435</v>
      </c>
      <c r="L53" s="27" t="s">
        <v>436</v>
      </c>
      <c r="M53" s="28" t="s">
        <v>14</v>
      </c>
      <c r="N53" s="27" t="s">
        <v>1884</v>
      </c>
      <c r="O53" s="27" t="s">
        <v>112</v>
      </c>
      <c r="P53" s="29" t="s">
        <v>113</v>
      </c>
      <c r="Q53" s="27" t="s">
        <v>121</v>
      </c>
    </row>
    <row r="54" spans="1:17" x14ac:dyDescent="0.25">
      <c r="A54" s="23" t="s">
        <v>1936</v>
      </c>
      <c r="B54" s="24" t="s">
        <v>40</v>
      </c>
      <c r="C54" s="24" t="s">
        <v>409</v>
      </c>
      <c r="D54" s="24" t="s">
        <v>102</v>
      </c>
      <c r="E54" s="25" t="s">
        <v>288</v>
      </c>
      <c r="F54" s="26" t="s">
        <v>104</v>
      </c>
      <c r="G54" s="24" t="s">
        <v>438</v>
      </c>
      <c r="H54" s="24" t="s">
        <v>439</v>
      </c>
      <c r="I54" s="24" t="s">
        <v>440</v>
      </c>
      <c r="J54" s="24" t="s">
        <v>108</v>
      </c>
      <c r="K54" s="24" t="s">
        <v>441</v>
      </c>
      <c r="L54" s="27" t="s">
        <v>442</v>
      </c>
      <c r="M54" s="28" t="s">
        <v>14</v>
      </c>
      <c r="N54" s="27" t="s">
        <v>1884</v>
      </c>
      <c r="O54" s="27" t="s">
        <v>112</v>
      </c>
      <c r="P54" s="29" t="s">
        <v>113</v>
      </c>
      <c r="Q54" s="27" t="s">
        <v>121</v>
      </c>
    </row>
    <row r="55" spans="1:17" x14ac:dyDescent="0.25">
      <c r="A55" s="30" t="s">
        <v>1937</v>
      </c>
      <c r="B55" s="27" t="s">
        <v>40</v>
      </c>
      <c r="C55" s="27" t="s">
        <v>409</v>
      </c>
      <c r="D55" s="27" t="s">
        <v>234</v>
      </c>
      <c r="E55" s="28" t="s">
        <v>103</v>
      </c>
      <c r="F55" s="31" t="s">
        <v>116</v>
      </c>
      <c r="G55" s="27" t="s">
        <v>444</v>
      </c>
      <c r="H55" s="27" t="s">
        <v>445</v>
      </c>
      <c r="I55" s="27" t="s">
        <v>440</v>
      </c>
      <c r="J55" s="27" t="s">
        <v>108</v>
      </c>
      <c r="K55" s="27" t="s">
        <v>446</v>
      </c>
      <c r="L55" s="27" t="s">
        <v>447</v>
      </c>
      <c r="M55" s="28" t="s">
        <v>14</v>
      </c>
      <c r="N55" s="27" t="s">
        <v>1884</v>
      </c>
      <c r="O55" s="27" t="s">
        <v>112</v>
      </c>
      <c r="P55" s="29" t="s">
        <v>113</v>
      </c>
      <c r="Q55" s="27" t="s">
        <v>121</v>
      </c>
    </row>
    <row r="56" spans="1:17" x14ac:dyDescent="0.25">
      <c r="A56" s="23" t="s">
        <v>1938</v>
      </c>
      <c r="B56" s="24" t="s">
        <v>41</v>
      </c>
      <c r="C56" s="24" t="s">
        <v>449</v>
      </c>
      <c r="D56" s="24" t="s">
        <v>102</v>
      </c>
      <c r="E56" s="25" t="s">
        <v>288</v>
      </c>
      <c r="F56" s="37" t="s">
        <v>194</v>
      </c>
      <c r="G56" s="24" t="s">
        <v>450</v>
      </c>
      <c r="H56" s="24" t="s">
        <v>439</v>
      </c>
      <c r="I56" s="24" t="s">
        <v>451</v>
      </c>
      <c r="J56" s="24" t="s">
        <v>108</v>
      </c>
      <c r="K56" s="24" t="s">
        <v>452</v>
      </c>
      <c r="L56" s="27" t="s">
        <v>453</v>
      </c>
      <c r="M56" s="28" t="s">
        <v>14</v>
      </c>
      <c r="N56" s="27" t="s">
        <v>1884</v>
      </c>
      <c r="O56" s="27" t="s">
        <v>112</v>
      </c>
      <c r="P56" s="29" t="s">
        <v>113</v>
      </c>
      <c r="Q56" s="27" t="s">
        <v>121</v>
      </c>
    </row>
    <row r="57" spans="1:17" x14ac:dyDescent="0.25">
      <c r="A57" s="30" t="s">
        <v>1939</v>
      </c>
      <c r="B57" s="27" t="s">
        <v>41</v>
      </c>
      <c r="C57" s="27" t="s">
        <v>449</v>
      </c>
      <c r="D57" s="27" t="s">
        <v>455</v>
      </c>
      <c r="E57" s="28" t="s">
        <v>288</v>
      </c>
      <c r="F57" s="35" t="s">
        <v>194</v>
      </c>
      <c r="G57" s="27" t="s">
        <v>456</v>
      </c>
      <c r="H57" s="27" t="s">
        <v>457</v>
      </c>
      <c r="I57" s="27" t="s">
        <v>458</v>
      </c>
      <c r="J57" s="27" t="s">
        <v>108</v>
      </c>
      <c r="K57" s="27" t="s">
        <v>459</v>
      </c>
      <c r="L57" s="27" t="s">
        <v>460</v>
      </c>
      <c r="M57" s="28" t="s">
        <v>14</v>
      </c>
      <c r="N57" s="27" t="s">
        <v>1884</v>
      </c>
      <c r="O57" s="27" t="s">
        <v>112</v>
      </c>
      <c r="P57" s="29" t="s">
        <v>113</v>
      </c>
      <c r="Q57" s="27" t="s">
        <v>121</v>
      </c>
    </row>
    <row r="58" spans="1:17" x14ac:dyDescent="0.25">
      <c r="A58" s="23" t="s">
        <v>1940</v>
      </c>
      <c r="B58" s="24" t="s">
        <v>41</v>
      </c>
      <c r="C58" s="24" t="s">
        <v>449</v>
      </c>
      <c r="D58" s="24" t="s">
        <v>455</v>
      </c>
      <c r="E58" s="25" t="s">
        <v>288</v>
      </c>
      <c r="F58" s="37" t="s">
        <v>194</v>
      </c>
      <c r="G58" s="24" t="s">
        <v>462</v>
      </c>
      <c r="H58" s="24" t="s">
        <v>457</v>
      </c>
      <c r="I58" s="24" t="s">
        <v>463</v>
      </c>
      <c r="J58" s="24" t="s">
        <v>108</v>
      </c>
      <c r="K58" s="24" t="s">
        <v>446</v>
      </c>
      <c r="L58" s="27" t="s">
        <v>447</v>
      </c>
      <c r="M58" s="28" t="s">
        <v>14</v>
      </c>
      <c r="N58" s="27" t="s">
        <v>1884</v>
      </c>
      <c r="O58" s="27" t="s">
        <v>112</v>
      </c>
      <c r="P58" s="29" t="s">
        <v>113</v>
      </c>
      <c r="Q58" s="27" t="s">
        <v>121</v>
      </c>
    </row>
    <row r="59" spans="1:17" x14ac:dyDescent="0.25">
      <c r="A59" s="30" t="s">
        <v>1941</v>
      </c>
      <c r="B59" s="27" t="s">
        <v>41</v>
      </c>
      <c r="C59" s="27" t="s">
        <v>449</v>
      </c>
      <c r="D59" s="27" t="s">
        <v>455</v>
      </c>
      <c r="E59" s="28" t="s">
        <v>288</v>
      </c>
      <c r="F59" s="36" t="s">
        <v>104</v>
      </c>
      <c r="G59" s="27" t="s">
        <v>465</v>
      </c>
      <c r="H59" s="27" t="s">
        <v>457</v>
      </c>
      <c r="I59" s="27" t="s">
        <v>466</v>
      </c>
      <c r="J59" s="27" t="s">
        <v>108</v>
      </c>
      <c r="K59" s="27" t="s">
        <v>467</v>
      </c>
      <c r="L59" s="27" t="s">
        <v>468</v>
      </c>
      <c r="M59" s="28" t="s">
        <v>14</v>
      </c>
      <c r="N59" s="27" t="s">
        <v>1884</v>
      </c>
      <c r="O59" s="27" t="s">
        <v>112</v>
      </c>
      <c r="P59" s="29" t="s">
        <v>113</v>
      </c>
      <c r="Q59" s="27" t="s">
        <v>469</v>
      </c>
    </row>
    <row r="60" spans="1:17" x14ac:dyDescent="0.25">
      <c r="A60" s="23" t="s">
        <v>1942</v>
      </c>
      <c r="B60" s="24" t="s">
        <v>41</v>
      </c>
      <c r="C60" s="24" t="s">
        <v>449</v>
      </c>
      <c r="D60" s="24" t="s">
        <v>193</v>
      </c>
      <c r="E60" s="25" t="s">
        <v>103</v>
      </c>
      <c r="F60" s="34" t="s">
        <v>116</v>
      </c>
      <c r="G60" s="24" t="s">
        <v>471</v>
      </c>
      <c r="H60" s="24" t="s">
        <v>472</v>
      </c>
      <c r="I60" s="24" t="s">
        <v>473</v>
      </c>
      <c r="J60" s="24" t="s">
        <v>108</v>
      </c>
      <c r="K60" s="24" t="s">
        <v>474</v>
      </c>
      <c r="L60" s="27" t="s">
        <v>475</v>
      </c>
      <c r="M60" s="28" t="s">
        <v>14</v>
      </c>
      <c r="N60" s="27" t="s">
        <v>1884</v>
      </c>
      <c r="O60" s="27" t="s">
        <v>112</v>
      </c>
      <c r="P60" s="29" t="s">
        <v>113</v>
      </c>
      <c r="Q60" s="27" t="s">
        <v>121</v>
      </c>
    </row>
    <row r="61" spans="1:17" x14ac:dyDescent="0.25">
      <c r="A61" s="30" t="s">
        <v>1943</v>
      </c>
      <c r="B61" s="27" t="s">
        <v>41</v>
      </c>
      <c r="C61" s="27" t="s">
        <v>477</v>
      </c>
      <c r="D61" s="27" t="s">
        <v>133</v>
      </c>
      <c r="E61" s="28" t="s">
        <v>103</v>
      </c>
      <c r="F61" s="35" t="s">
        <v>194</v>
      </c>
      <c r="G61" s="27" t="s">
        <v>478</v>
      </c>
      <c r="H61" s="27" t="s">
        <v>479</v>
      </c>
      <c r="I61" s="27" t="s">
        <v>480</v>
      </c>
      <c r="J61" s="27" t="s">
        <v>108</v>
      </c>
      <c r="K61" s="27" t="s">
        <v>481</v>
      </c>
      <c r="L61" s="27" t="s">
        <v>482</v>
      </c>
      <c r="M61" s="28" t="s">
        <v>14</v>
      </c>
      <c r="N61" s="27" t="s">
        <v>1884</v>
      </c>
      <c r="O61" s="27" t="s">
        <v>112</v>
      </c>
      <c r="P61" s="29" t="s">
        <v>113</v>
      </c>
      <c r="Q61" s="27" t="s">
        <v>483</v>
      </c>
    </row>
    <row r="62" spans="1:17" x14ac:dyDescent="0.25">
      <c r="A62" s="23" t="s">
        <v>1944</v>
      </c>
      <c r="B62" s="24" t="s">
        <v>41</v>
      </c>
      <c r="C62" s="24" t="s">
        <v>477</v>
      </c>
      <c r="D62" s="24" t="s">
        <v>133</v>
      </c>
      <c r="E62" s="25" t="s">
        <v>103</v>
      </c>
      <c r="F62" s="37" t="s">
        <v>194</v>
      </c>
      <c r="G62" s="24" t="s">
        <v>485</v>
      </c>
      <c r="H62" s="24" t="s">
        <v>486</v>
      </c>
      <c r="I62" s="24" t="s">
        <v>487</v>
      </c>
      <c r="J62" s="24" t="s">
        <v>108</v>
      </c>
      <c r="K62" s="24" t="s">
        <v>488</v>
      </c>
      <c r="L62" s="27" t="s">
        <v>489</v>
      </c>
      <c r="M62" s="28" t="s">
        <v>14</v>
      </c>
      <c r="N62" s="27" t="s">
        <v>1884</v>
      </c>
      <c r="O62" s="27" t="s">
        <v>112</v>
      </c>
      <c r="P62" s="29" t="s">
        <v>113</v>
      </c>
      <c r="Q62" s="27" t="s">
        <v>121</v>
      </c>
    </row>
    <row r="63" spans="1:17" x14ac:dyDescent="0.25">
      <c r="A63" s="30" t="s">
        <v>1945</v>
      </c>
      <c r="B63" s="27" t="s">
        <v>41</v>
      </c>
      <c r="C63" s="27" t="s">
        <v>477</v>
      </c>
      <c r="D63" s="27" t="s">
        <v>133</v>
      </c>
      <c r="E63" s="28" t="s">
        <v>103</v>
      </c>
      <c r="F63" s="36" t="s">
        <v>104</v>
      </c>
      <c r="G63" s="27" t="s">
        <v>491</v>
      </c>
      <c r="H63" s="27" t="s">
        <v>486</v>
      </c>
      <c r="I63" s="27" t="s">
        <v>434</v>
      </c>
      <c r="J63" s="27" t="s">
        <v>108</v>
      </c>
      <c r="K63" s="27" t="s">
        <v>492</v>
      </c>
      <c r="L63" s="27" t="s">
        <v>493</v>
      </c>
      <c r="M63" s="28" t="s">
        <v>14</v>
      </c>
      <c r="N63" s="27" t="s">
        <v>1884</v>
      </c>
      <c r="O63" s="27" t="s">
        <v>112</v>
      </c>
      <c r="P63" s="29" t="s">
        <v>113</v>
      </c>
      <c r="Q63" s="27" t="s">
        <v>121</v>
      </c>
    </row>
    <row r="64" spans="1:17" x14ac:dyDescent="0.25">
      <c r="A64" s="23" t="s">
        <v>1946</v>
      </c>
      <c r="B64" s="24" t="s">
        <v>41</v>
      </c>
      <c r="C64" s="24" t="s">
        <v>477</v>
      </c>
      <c r="D64" s="24" t="s">
        <v>133</v>
      </c>
      <c r="E64" s="25" t="s">
        <v>103</v>
      </c>
      <c r="F64" s="26" t="s">
        <v>104</v>
      </c>
      <c r="G64" s="24" t="s">
        <v>495</v>
      </c>
      <c r="H64" s="24" t="s">
        <v>486</v>
      </c>
      <c r="I64" s="24" t="s">
        <v>496</v>
      </c>
      <c r="J64" s="24" t="s">
        <v>108</v>
      </c>
      <c r="K64" s="24" t="s">
        <v>497</v>
      </c>
      <c r="L64" s="27" t="s">
        <v>498</v>
      </c>
      <c r="M64" s="28" t="s">
        <v>14</v>
      </c>
      <c r="N64" s="27" t="s">
        <v>1884</v>
      </c>
      <c r="O64" s="27" t="s">
        <v>112</v>
      </c>
      <c r="P64" s="29" t="s">
        <v>113</v>
      </c>
      <c r="Q64" s="27" t="s">
        <v>121</v>
      </c>
    </row>
    <row r="65" spans="1:17" x14ac:dyDescent="0.25">
      <c r="A65" s="30" t="s">
        <v>1947</v>
      </c>
      <c r="B65" s="27" t="s">
        <v>41</v>
      </c>
      <c r="C65" s="27" t="s">
        <v>477</v>
      </c>
      <c r="D65" s="27" t="s">
        <v>133</v>
      </c>
      <c r="E65" s="28" t="s">
        <v>141</v>
      </c>
      <c r="F65" s="31" t="s">
        <v>116</v>
      </c>
      <c r="G65" s="27" t="s">
        <v>500</v>
      </c>
      <c r="H65" s="27" t="s">
        <v>486</v>
      </c>
      <c r="I65" s="27" t="s">
        <v>501</v>
      </c>
      <c r="J65" s="27" t="s">
        <v>108</v>
      </c>
      <c r="K65" s="27" t="s">
        <v>502</v>
      </c>
      <c r="L65" s="27" t="s">
        <v>503</v>
      </c>
      <c r="M65" s="28" t="s">
        <v>14</v>
      </c>
      <c r="N65" s="27" t="s">
        <v>1884</v>
      </c>
      <c r="O65" s="27" t="s">
        <v>112</v>
      </c>
      <c r="P65" s="29" t="s">
        <v>113</v>
      </c>
      <c r="Q65" s="27" t="s">
        <v>504</v>
      </c>
    </row>
    <row r="66" spans="1:17" x14ac:dyDescent="0.25">
      <c r="A66" s="23" t="s">
        <v>1948</v>
      </c>
      <c r="B66" s="24" t="s">
        <v>41</v>
      </c>
      <c r="C66" s="24" t="s">
        <v>477</v>
      </c>
      <c r="D66" s="24" t="s">
        <v>133</v>
      </c>
      <c r="E66" s="25" t="s">
        <v>103</v>
      </c>
      <c r="F66" s="34" t="s">
        <v>116</v>
      </c>
      <c r="G66" s="24" t="s">
        <v>506</v>
      </c>
      <c r="H66" s="24" t="s">
        <v>507</v>
      </c>
      <c r="I66" s="24" t="s">
        <v>508</v>
      </c>
      <c r="J66" s="24" t="s">
        <v>108</v>
      </c>
      <c r="K66" s="24" t="s">
        <v>509</v>
      </c>
      <c r="L66" s="27" t="s">
        <v>510</v>
      </c>
      <c r="M66" s="28" t="s">
        <v>14</v>
      </c>
      <c r="N66" s="27" t="s">
        <v>1884</v>
      </c>
      <c r="O66" s="27" t="s">
        <v>112</v>
      </c>
      <c r="P66" s="29" t="s">
        <v>113</v>
      </c>
      <c r="Q66" s="27" t="s">
        <v>121</v>
      </c>
    </row>
    <row r="67" spans="1:17" x14ac:dyDescent="0.25">
      <c r="A67" s="30" t="s">
        <v>1949</v>
      </c>
      <c r="B67" s="27" t="s">
        <v>41</v>
      </c>
      <c r="C67" s="27" t="s">
        <v>512</v>
      </c>
      <c r="D67" s="27" t="s">
        <v>133</v>
      </c>
      <c r="E67" s="28" t="s">
        <v>103</v>
      </c>
      <c r="F67" s="35" t="s">
        <v>194</v>
      </c>
      <c r="G67" s="27" t="s">
        <v>513</v>
      </c>
      <c r="H67" s="27" t="s">
        <v>507</v>
      </c>
      <c r="I67" s="27" t="s">
        <v>514</v>
      </c>
      <c r="J67" s="27" t="s">
        <v>108</v>
      </c>
      <c r="K67" s="27" t="s">
        <v>515</v>
      </c>
      <c r="L67" s="27" t="s">
        <v>516</v>
      </c>
      <c r="M67" s="28" t="s">
        <v>14</v>
      </c>
      <c r="N67" s="27" t="s">
        <v>1884</v>
      </c>
      <c r="O67" s="27" t="s">
        <v>112</v>
      </c>
      <c r="P67" s="29" t="s">
        <v>113</v>
      </c>
      <c r="Q67" s="27" t="s">
        <v>121</v>
      </c>
    </row>
    <row r="68" spans="1:17" x14ac:dyDescent="0.25">
      <c r="A68" s="23" t="s">
        <v>1950</v>
      </c>
      <c r="B68" s="24" t="s">
        <v>41</v>
      </c>
      <c r="C68" s="24" t="s">
        <v>512</v>
      </c>
      <c r="D68" s="24" t="s">
        <v>133</v>
      </c>
      <c r="E68" s="25" t="s">
        <v>288</v>
      </c>
      <c r="F68" s="26" t="s">
        <v>104</v>
      </c>
      <c r="G68" s="24" t="s">
        <v>518</v>
      </c>
      <c r="H68" s="24" t="s">
        <v>519</v>
      </c>
      <c r="I68" s="24" t="s">
        <v>520</v>
      </c>
      <c r="J68" s="24" t="s">
        <v>108</v>
      </c>
      <c r="K68" s="24" t="s">
        <v>521</v>
      </c>
      <c r="L68" s="27" t="s">
        <v>522</v>
      </c>
      <c r="M68" s="28" t="s">
        <v>14</v>
      </c>
      <c r="N68" s="27" t="s">
        <v>1884</v>
      </c>
      <c r="O68" s="27" t="s">
        <v>112</v>
      </c>
      <c r="P68" s="29" t="s">
        <v>113</v>
      </c>
      <c r="Q68" s="27" t="s">
        <v>121</v>
      </c>
    </row>
    <row r="69" spans="1:17" x14ac:dyDescent="0.25">
      <c r="A69" s="30" t="s">
        <v>1951</v>
      </c>
      <c r="B69" s="27" t="s">
        <v>41</v>
      </c>
      <c r="C69" s="27" t="s">
        <v>524</v>
      </c>
      <c r="D69" s="27" t="s">
        <v>133</v>
      </c>
      <c r="E69" s="28" t="s">
        <v>103</v>
      </c>
      <c r="F69" s="31" t="s">
        <v>116</v>
      </c>
      <c r="G69" s="27" t="s">
        <v>525</v>
      </c>
      <c r="H69" s="27" t="s">
        <v>526</v>
      </c>
      <c r="I69" s="27" t="s">
        <v>527</v>
      </c>
      <c r="J69" s="27" t="s">
        <v>108</v>
      </c>
      <c r="K69" s="27" t="s">
        <v>528</v>
      </c>
      <c r="L69" s="27" t="s">
        <v>529</v>
      </c>
      <c r="M69" s="28" t="s">
        <v>14</v>
      </c>
      <c r="N69" s="27" t="s">
        <v>1884</v>
      </c>
      <c r="O69" s="27" t="s">
        <v>112</v>
      </c>
      <c r="P69" s="29" t="s">
        <v>113</v>
      </c>
      <c r="Q69" s="27" t="s">
        <v>121</v>
      </c>
    </row>
    <row r="70" spans="1:17" x14ac:dyDescent="0.25">
      <c r="A70" s="23" t="s">
        <v>1952</v>
      </c>
      <c r="B70" s="24" t="s">
        <v>41</v>
      </c>
      <c r="C70" s="24" t="s">
        <v>531</v>
      </c>
      <c r="D70" s="24" t="s">
        <v>133</v>
      </c>
      <c r="E70" s="25" t="s">
        <v>103</v>
      </c>
      <c r="F70" s="26" t="s">
        <v>104</v>
      </c>
      <c r="G70" s="24" t="s">
        <v>532</v>
      </c>
      <c r="H70" s="24" t="s">
        <v>507</v>
      </c>
      <c r="I70" s="24" t="s">
        <v>533</v>
      </c>
      <c r="J70" s="24" t="s">
        <v>108</v>
      </c>
      <c r="K70" s="24" t="s">
        <v>534</v>
      </c>
      <c r="L70" s="27" t="s">
        <v>535</v>
      </c>
      <c r="M70" s="28" t="s">
        <v>14</v>
      </c>
      <c r="N70" s="27" t="s">
        <v>1884</v>
      </c>
      <c r="O70" s="27" t="s">
        <v>112</v>
      </c>
      <c r="P70" s="29" t="s">
        <v>113</v>
      </c>
      <c r="Q70" s="27" t="s">
        <v>121</v>
      </c>
    </row>
    <row r="71" spans="1:17" x14ac:dyDescent="0.25">
      <c r="A71" s="30" t="s">
        <v>1953</v>
      </c>
      <c r="B71" s="27" t="s">
        <v>42</v>
      </c>
      <c r="C71" s="27" t="s">
        <v>537</v>
      </c>
      <c r="D71" s="27" t="s">
        <v>193</v>
      </c>
      <c r="E71" s="28" t="s">
        <v>103</v>
      </c>
      <c r="F71" s="36" t="s">
        <v>104</v>
      </c>
      <c r="G71" s="27" t="s">
        <v>538</v>
      </c>
      <c r="H71" s="27" t="s">
        <v>539</v>
      </c>
      <c r="I71" s="27" t="s">
        <v>540</v>
      </c>
      <c r="J71" s="27" t="s">
        <v>108</v>
      </c>
      <c r="K71" s="27" t="s">
        <v>541</v>
      </c>
      <c r="L71" s="27" t="s">
        <v>542</v>
      </c>
      <c r="M71" s="28" t="s">
        <v>14</v>
      </c>
      <c r="N71" s="27" t="s">
        <v>1884</v>
      </c>
      <c r="O71" s="27" t="s">
        <v>112</v>
      </c>
      <c r="P71" s="29" t="s">
        <v>113</v>
      </c>
      <c r="Q71" s="27" t="s">
        <v>121</v>
      </c>
    </row>
    <row r="72" spans="1:17" x14ac:dyDescent="0.25">
      <c r="A72" s="23" t="s">
        <v>1954</v>
      </c>
      <c r="B72" s="24" t="s">
        <v>42</v>
      </c>
      <c r="C72" s="24" t="s">
        <v>537</v>
      </c>
      <c r="D72" s="24" t="s">
        <v>544</v>
      </c>
      <c r="E72" s="25" t="s">
        <v>103</v>
      </c>
      <c r="F72" s="26" t="s">
        <v>104</v>
      </c>
      <c r="G72" s="24" t="s">
        <v>545</v>
      </c>
      <c r="H72" s="24" t="s">
        <v>546</v>
      </c>
      <c r="I72" s="24" t="s">
        <v>540</v>
      </c>
      <c r="J72" s="24" t="s">
        <v>108</v>
      </c>
      <c r="K72" s="24" t="s">
        <v>547</v>
      </c>
      <c r="L72" s="27" t="s">
        <v>548</v>
      </c>
      <c r="M72" s="28" t="s">
        <v>14</v>
      </c>
      <c r="N72" s="27" t="s">
        <v>1884</v>
      </c>
      <c r="O72" s="27" t="s">
        <v>112</v>
      </c>
      <c r="P72" s="29" t="s">
        <v>113</v>
      </c>
      <c r="Q72" s="27" t="s">
        <v>121</v>
      </c>
    </row>
    <row r="73" spans="1:17" x14ac:dyDescent="0.25">
      <c r="A73" s="30" t="s">
        <v>1955</v>
      </c>
      <c r="B73" s="27" t="s">
        <v>42</v>
      </c>
      <c r="C73" s="27" t="s">
        <v>537</v>
      </c>
      <c r="D73" s="27" t="s">
        <v>133</v>
      </c>
      <c r="E73" s="28" t="s">
        <v>141</v>
      </c>
      <c r="F73" s="31" t="s">
        <v>116</v>
      </c>
      <c r="G73" s="27" t="s">
        <v>550</v>
      </c>
      <c r="H73" s="27" t="s">
        <v>507</v>
      </c>
      <c r="I73" s="27" t="s">
        <v>551</v>
      </c>
      <c r="J73" s="27" t="s">
        <v>108</v>
      </c>
      <c r="K73" s="27" t="s">
        <v>552</v>
      </c>
      <c r="L73" s="27" t="s">
        <v>553</v>
      </c>
      <c r="M73" s="28" t="s">
        <v>14</v>
      </c>
      <c r="N73" s="27" t="s">
        <v>1884</v>
      </c>
      <c r="O73" s="27" t="s">
        <v>112</v>
      </c>
      <c r="P73" s="29" t="s">
        <v>113</v>
      </c>
      <c r="Q73" s="27" t="s">
        <v>121</v>
      </c>
    </row>
    <row r="74" spans="1:17" x14ac:dyDescent="0.25">
      <c r="A74" s="23" t="s">
        <v>1956</v>
      </c>
      <c r="B74" s="24" t="s">
        <v>42</v>
      </c>
      <c r="C74" s="24" t="s">
        <v>555</v>
      </c>
      <c r="D74" s="24" t="s">
        <v>133</v>
      </c>
      <c r="E74" s="25" t="s">
        <v>103</v>
      </c>
      <c r="F74" s="26" t="s">
        <v>104</v>
      </c>
      <c r="G74" s="24" t="s">
        <v>556</v>
      </c>
      <c r="H74" s="24" t="s">
        <v>507</v>
      </c>
      <c r="I74" s="24" t="s">
        <v>557</v>
      </c>
      <c r="J74" s="24" t="s">
        <v>108</v>
      </c>
      <c r="K74" s="24" t="s">
        <v>558</v>
      </c>
      <c r="L74" s="27" t="s">
        <v>559</v>
      </c>
      <c r="M74" s="28" t="s">
        <v>14</v>
      </c>
      <c r="N74" s="27" t="s">
        <v>1884</v>
      </c>
      <c r="O74" s="27" t="s">
        <v>112</v>
      </c>
      <c r="P74" s="29" t="s">
        <v>113</v>
      </c>
      <c r="Q74" s="27" t="s">
        <v>121</v>
      </c>
    </row>
    <row r="75" spans="1:17" x14ac:dyDescent="0.25">
      <c r="A75" s="30" t="s">
        <v>1957</v>
      </c>
      <c r="B75" s="27" t="s">
        <v>42</v>
      </c>
      <c r="C75" s="27" t="s">
        <v>555</v>
      </c>
      <c r="D75" s="27" t="s">
        <v>193</v>
      </c>
      <c r="E75" s="28" t="s">
        <v>103</v>
      </c>
      <c r="F75" s="31" t="s">
        <v>116</v>
      </c>
      <c r="G75" s="27" t="s">
        <v>561</v>
      </c>
      <c r="H75" s="27" t="s">
        <v>539</v>
      </c>
      <c r="I75" s="27" t="s">
        <v>562</v>
      </c>
      <c r="J75" s="27" t="s">
        <v>108</v>
      </c>
      <c r="K75" s="27" t="s">
        <v>563</v>
      </c>
      <c r="L75" s="27" t="s">
        <v>564</v>
      </c>
      <c r="M75" s="28" t="s">
        <v>14</v>
      </c>
      <c r="N75" s="27" t="s">
        <v>1884</v>
      </c>
      <c r="O75" s="27" t="s">
        <v>112</v>
      </c>
      <c r="P75" s="29" t="s">
        <v>113</v>
      </c>
      <c r="Q75" s="27" t="s">
        <v>121</v>
      </c>
    </row>
    <row r="76" spans="1:17" x14ac:dyDescent="0.25">
      <c r="A76" s="23" t="s">
        <v>1958</v>
      </c>
      <c r="B76" s="24" t="s">
        <v>42</v>
      </c>
      <c r="C76" s="24" t="s">
        <v>555</v>
      </c>
      <c r="D76" s="24" t="s">
        <v>133</v>
      </c>
      <c r="E76" s="25" t="s">
        <v>141</v>
      </c>
      <c r="F76" s="32" t="s">
        <v>134</v>
      </c>
      <c r="G76" s="24" t="s">
        <v>566</v>
      </c>
      <c r="H76" s="24" t="s">
        <v>567</v>
      </c>
      <c r="I76" s="24" t="s">
        <v>568</v>
      </c>
      <c r="J76" s="24" t="s">
        <v>108</v>
      </c>
      <c r="K76" s="24" t="s">
        <v>569</v>
      </c>
      <c r="L76" s="27" t="s">
        <v>570</v>
      </c>
      <c r="M76" s="28" t="s">
        <v>14</v>
      </c>
      <c r="N76" s="27" t="s">
        <v>1884</v>
      </c>
      <c r="O76" s="27" t="s">
        <v>112</v>
      </c>
      <c r="P76" s="29" t="s">
        <v>113</v>
      </c>
      <c r="Q76" s="27" t="s">
        <v>121</v>
      </c>
    </row>
    <row r="77" spans="1:17" x14ac:dyDescent="0.25">
      <c r="A77" s="30" t="s">
        <v>1959</v>
      </c>
      <c r="B77" s="27" t="s">
        <v>42</v>
      </c>
      <c r="C77" s="27" t="s">
        <v>572</v>
      </c>
      <c r="D77" s="27" t="s">
        <v>133</v>
      </c>
      <c r="E77" s="28" t="s">
        <v>103</v>
      </c>
      <c r="F77" s="31" t="s">
        <v>116</v>
      </c>
      <c r="G77" s="27" t="s">
        <v>573</v>
      </c>
      <c r="H77" s="27" t="s">
        <v>507</v>
      </c>
      <c r="I77" s="27" t="s">
        <v>574</v>
      </c>
      <c r="J77" s="27" t="s">
        <v>108</v>
      </c>
      <c r="K77" s="27" t="s">
        <v>575</v>
      </c>
      <c r="L77" s="27" t="s">
        <v>576</v>
      </c>
      <c r="M77" s="28" t="s">
        <v>14</v>
      </c>
      <c r="N77" s="27" t="s">
        <v>1884</v>
      </c>
      <c r="O77" s="27" t="s">
        <v>112</v>
      </c>
      <c r="P77" s="29" t="s">
        <v>113</v>
      </c>
      <c r="Q77" s="27" t="s">
        <v>121</v>
      </c>
    </row>
    <row r="78" spans="1:17" x14ac:dyDescent="0.25">
      <c r="A78" s="23" t="s">
        <v>1960</v>
      </c>
      <c r="B78" s="24" t="s">
        <v>42</v>
      </c>
      <c r="C78" s="24" t="s">
        <v>572</v>
      </c>
      <c r="D78" s="24" t="s">
        <v>133</v>
      </c>
      <c r="E78" s="25" t="s">
        <v>103</v>
      </c>
      <c r="F78" s="32" t="s">
        <v>134</v>
      </c>
      <c r="G78" s="24" t="s">
        <v>578</v>
      </c>
      <c r="H78" s="24" t="s">
        <v>507</v>
      </c>
      <c r="I78" s="24" t="s">
        <v>579</v>
      </c>
      <c r="J78" s="24" t="s">
        <v>108</v>
      </c>
      <c r="K78" s="24" t="s">
        <v>580</v>
      </c>
      <c r="L78" s="27" t="s">
        <v>581</v>
      </c>
      <c r="M78" s="28" t="s">
        <v>14</v>
      </c>
      <c r="N78" s="27" t="s">
        <v>1884</v>
      </c>
      <c r="O78" s="27" t="s">
        <v>112</v>
      </c>
      <c r="P78" s="29" t="s">
        <v>113</v>
      </c>
      <c r="Q78" s="27" t="s">
        <v>121</v>
      </c>
    </row>
    <row r="79" spans="1:17" x14ac:dyDescent="0.25">
      <c r="A79" s="30" t="s">
        <v>1961</v>
      </c>
      <c r="B79" s="27" t="s">
        <v>42</v>
      </c>
      <c r="C79" s="27" t="s">
        <v>572</v>
      </c>
      <c r="D79" s="27" t="s">
        <v>133</v>
      </c>
      <c r="E79" s="28" t="s">
        <v>103</v>
      </c>
      <c r="F79" s="31" t="s">
        <v>116</v>
      </c>
      <c r="G79" s="27" t="s">
        <v>583</v>
      </c>
      <c r="H79" s="27" t="s">
        <v>584</v>
      </c>
      <c r="I79" s="27" t="s">
        <v>585</v>
      </c>
      <c r="J79" s="27" t="s">
        <v>108</v>
      </c>
      <c r="K79" s="27" t="s">
        <v>586</v>
      </c>
      <c r="L79" s="27" t="s">
        <v>587</v>
      </c>
      <c r="M79" s="28" t="s">
        <v>14</v>
      </c>
      <c r="N79" s="27" t="s">
        <v>1884</v>
      </c>
      <c r="O79" s="27" t="s">
        <v>112</v>
      </c>
      <c r="P79" s="29" t="s">
        <v>113</v>
      </c>
      <c r="Q79" s="27" t="s">
        <v>121</v>
      </c>
    </row>
    <row r="80" spans="1:17" x14ac:dyDescent="0.25">
      <c r="A80" s="23" t="s">
        <v>1962</v>
      </c>
      <c r="B80" s="24" t="s">
        <v>42</v>
      </c>
      <c r="C80" s="24" t="s">
        <v>572</v>
      </c>
      <c r="D80" s="24" t="s">
        <v>133</v>
      </c>
      <c r="E80" s="25" t="s">
        <v>103</v>
      </c>
      <c r="F80" s="34" t="s">
        <v>116</v>
      </c>
      <c r="G80" s="24" t="s">
        <v>589</v>
      </c>
      <c r="H80" s="24" t="s">
        <v>590</v>
      </c>
      <c r="I80" s="24" t="s">
        <v>591</v>
      </c>
      <c r="J80" s="24" t="s">
        <v>108</v>
      </c>
      <c r="K80" s="24" t="s">
        <v>592</v>
      </c>
      <c r="L80" s="27" t="s">
        <v>593</v>
      </c>
      <c r="M80" s="28" t="s">
        <v>14</v>
      </c>
      <c r="N80" s="27" t="s">
        <v>1884</v>
      </c>
      <c r="O80" s="27" t="s">
        <v>112</v>
      </c>
      <c r="P80" s="29" t="s">
        <v>113</v>
      </c>
      <c r="Q80" s="27" t="s">
        <v>121</v>
      </c>
    </row>
    <row r="81" spans="1:17" x14ac:dyDescent="0.25">
      <c r="A81" s="30" t="s">
        <v>1963</v>
      </c>
      <c r="B81" s="27" t="s">
        <v>42</v>
      </c>
      <c r="C81" s="27" t="s">
        <v>572</v>
      </c>
      <c r="D81" s="27" t="s">
        <v>133</v>
      </c>
      <c r="E81" s="28" t="s">
        <v>141</v>
      </c>
      <c r="F81" s="33" t="s">
        <v>134</v>
      </c>
      <c r="G81" s="27" t="s">
        <v>595</v>
      </c>
      <c r="H81" s="27" t="s">
        <v>584</v>
      </c>
      <c r="I81" s="27" t="s">
        <v>596</v>
      </c>
      <c r="J81" s="27" t="s">
        <v>108</v>
      </c>
      <c r="K81" s="27" t="s">
        <v>597</v>
      </c>
      <c r="L81" s="27" t="s">
        <v>598</v>
      </c>
      <c r="M81" s="28" t="s">
        <v>14</v>
      </c>
      <c r="N81" s="27" t="s">
        <v>1884</v>
      </c>
      <c r="O81" s="27" t="s">
        <v>112</v>
      </c>
      <c r="P81" s="29" t="s">
        <v>113</v>
      </c>
      <c r="Q81" s="27" t="s">
        <v>121</v>
      </c>
    </row>
    <row r="82" spans="1:17" x14ac:dyDescent="0.25">
      <c r="A82" s="23" t="s">
        <v>1964</v>
      </c>
      <c r="B82" s="24" t="s">
        <v>42</v>
      </c>
      <c r="C82" s="24" t="s">
        <v>600</v>
      </c>
      <c r="D82" s="24" t="s">
        <v>133</v>
      </c>
      <c r="E82" s="25" t="s">
        <v>103</v>
      </c>
      <c r="F82" s="26" t="s">
        <v>104</v>
      </c>
      <c r="G82" s="24" t="s">
        <v>601</v>
      </c>
      <c r="H82" s="24" t="s">
        <v>108</v>
      </c>
      <c r="I82" s="24" t="s">
        <v>602</v>
      </c>
      <c r="J82" s="24" t="s">
        <v>108</v>
      </c>
      <c r="K82" s="24" t="s">
        <v>603</v>
      </c>
      <c r="L82" s="27" t="s">
        <v>604</v>
      </c>
      <c r="M82" s="28" t="s">
        <v>14</v>
      </c>
      <c r="N82" s="27" t="s">
        <v>1884</v>
      </c>
      <c r="O82" s="27" t="s">
        <v>112</v>
      </c>
      <c r="P82" s="29" t="s">
        <v>113</v>
      </c>
      <c r="Q82" s="27" t="s">
        <v>121</v>
      </c>
    </row>
    <row r="83" spans="1:17" x14ac:dyDescent="0.25">
      <c r="A83" s="30" t="s">
        <v>1965</v>
      </c>
      <c r="B83" s="27" t="s">
        <v>42</v>
      </c>
      <c r="C83" s="27" t="s">
        <v>600</v>
      </c>
      <c r="D83" s="27" t="s">
        <v>133</v>
      </c>
      <c r="E83" s="28" t="s">
        <v>103</v>
      </c>
      <c r="F83" s="31" t="s">
        <v>116</v>
      </c>
      <c r="G83" s="27" t="s">
        <v>606</v>
      </c>
      <c r="H83" s="27" t="s">
        <v>607</v>
      </c>
      <c r="I83" s="27" t="s">
        <v>608</v>
      </c>
      <c r="J83" s="27" t="s">
        <v>108</v>
      </c>
      <c r="K83" s="27" t="s">
        <v>609</v>
      </c>
      <c r="L83" s="27" t="s">
        <v>610</v>
      </c>
      <c r="M83" s="28" t="s">
        <v>14</v>
      </c>
      <c r="N83" s="27" t="s">
        <v>1884</v>
      </c>
      <c r="O83" s="27" t="s">
        <v>112</v>
      </c>
      <c r="P83" s="29" t="s">
        <v>113</v>
      </c>
      <c r="Q83" s="27" t="s">
        <v>121</v>
      </c>
    </row>
    <row r="84" spans="1:17" x14ac:dyDescent="0.25">
      <c r="A84" s="23" t="s">
        <v>1966</v>
      </c>
      <c r="B84" s="24" t="s">
        <v>42</v>
      </c>
      <c r="C84" s="24" t="s">
        <v>600</v>
      </c>
      <c r="D84" s="24" t="s">
        <v>133</v>
      </c>
      <c r="E84" s="25" t="s">
        <v>141</v>
      </c>
      <c r="F84" s="34" t="s">
        <v>116</v>
      </c>
      <c r="G84" s="24" t="s">
        <v>612</v>
      </c>
      <c r="H84" s="24" t="s">
        <v>108</v>
      </c>
      <c r="I84" s="24" t="s">
        <v>613</v>
      </c>
      <c r="J84" s="24" t="s">
        <v>108</v>
      </c>
      <c r="K84" s="24" t="s">
        <v>614</v>
      </c>
      <c r="L84" s="27" t="s">
        <v>615</v>
      </c>
      <c r="M84" s="28" t="s">
        <v>14</v>
      </c>
      <c r="N84" s="27" t="s">
        <v>1884</v>
      </c>
      <c r="O84" s="27" t="s">
        <v>112</v>
      </c>
      <c r="P84" s="29" t="s">
        <v>113</v>
      </c>
      <c r="Q84" s="27" t="s">
        <v>121</v>
      </c>
    </row>
    <row r="85" spans="1:17" x14ac:dyDescent="0.25">
      <c r="A85" s="30" t="s">
        <v>1967</v>
      </c>
      <c r="B85" s="27" t="s">
        <v>42</v>
      </c>
      <c r="C85" s="27" t="s">
        <v>617</v>
      </c>
      <c r="D85" s="27" t="s">
        <v>133</v>
      </c>
      <c r="E85" s="28" t="s">
        <v>141</v>
      </c>
      <c r="F85" s="33" t="s">
        <v>134</v>
      </c>
      <c r="G85" s="27" t="s">
        <v>618</v>
      </c>
      <c r="H85" s="27" t="s">
        <v>108</v>
      </c>
      <c r="I85" s="27" t="s">
        <v>619</v>
      </c>
      <c r="J85" s="27" t="s">
        <v>108</v>
      </c>
      <c r="K85" s="27" t="s">
        <v>620</v>
      </c>
      <c r="L85" s="27" t="s">
        <v>621</v>
      </c>
      <c r="M85" s="28" t="s">
        <v>14</v>
      </c>
      <c r="N85" s="27" t="s">
        <v>1884</v>
      </c>
      <c r="O85" s="27" t="s">
        <v>112</v>
      </c>
      <c r="P85" s="29" t="s">
        <v>113</v>
      </c>
      <c r="Q85" s="27" t="s">
        <v>121</v>
      </c>
    </row>
    <row r="86" spans="1:17" x14ac:dyDescent="0.25">
      <c r="A86" s="23" t="s">
        <v>1968</v>
      </c>
      <c r="B86" s="24" t="s">
        <v>43</v>
      </c>
      <c r="C86" s="24" t="s">
        <v>623</v>
      </c>
      <c r="D86" s="24" t="s">
        <v>133</v>
      </c>
      <c r="E86" s="25" t="s">
        <v>103</v>
      </c>
      <c r="F86" s="26" t="s">
        <v>104</v>
      </c>
      <c r="G86" s="24" t="s">
        <v>624</v>
      </c>
      <c r="H86" s="24" t="s">
        <v>625</v>
      </c>
      <c r="I86" s="24" t="s">
        <v>626</v>
      </c>
      <c r="J86" s="24" t="s">
        <v>108</v>
      </c>
      <c r="K86" s="24" t="s">
        <v>627</v>
      </c>
      <c r="L86" s="27" t="s">
        <v>628</v>
      </c>
      <c r="M86" s="28" t="s">
        <v>14</v>
      </c>
      <c r="N86" s="27" t="s">
        <v>1884</v>
      </c>
      <c r="O86" s="27" t="s">
        <v>112</v>
      </c>
      <c r="P86" s="29" t="s">
        <v>113</v>
      </c>
      <c r="Q86" s="27" t="s">
        <v>121</v>
      </c>
    </row>
    <row r="87" spans="1:17" x14ac:dyDescent="0.25">
      <c r="A87" s="30" t="s">
        <v>1969</v>
      </c>
      <c r="B87" s="27" t="s">
        <v>43</v>
      </c>
      <c r="C87" s="27" t="s">
        <v>623</v>
      </c>
      <c r="D87" s="27" t="s">
        <v>234</v>
      </c>
      <c r="E87" s="28" t="s">
        <v>103</v>
      </c>
      <c r="F87" s="35" t="s">
        <v>194</v>
      </c>
      <c r="G87" s="27" t="s">
        <v>630</v>
      </c>
      <c r="H87" s="27" t="s">
        <v>631</v>
      </c>
      <c r="I87" s="27" t="s">
        <v>632</v>
      </c>
      <c r="J87" s="27" t="s">
        <v>108</v>
      </c>
      <c r="K87" s="27" t="s">
        <v>633</v>
      </c>
      <c r="L87" s="27" t="s">
        <v>634</v>
      </c>
      <c r="M87" s="28" t="s">
        <v>14</v>
      </c>
      <c r="N87" s="27" t="s">
        <v>1884</v>
      </c>
      <c r="O87" s="27" t="s">
        <v>112</v>
      </c>
      <c r="P87" s="29" t="s">
        <v>113</v>
      </c>
      <c r="Q87" s="27" t="s">
        <v>121</v>
      </c>
    </row>
    <row r="88" spans="1:17" x14ac:dyDescent="0.25">
      <c r="A88" s="23" t="s">
        <v>1970</v>
      </c>
      <c r="B88" s="24" t="s">
        <v>43</v>
      </c>
      <c r="C88" s="24" t="s">
        <v>623</v>
      </c>
      <c r="D88" s="24" t="s">
        <v>636</v>
      </c>
      <c r="E88" s="25" t="s">
        <v>103</v>
      </c>
      <c r="F88" s="26" t="s">
        <v>104</v>
      </c>
      <c r="G88" s="24" t="s">
        <v>637</v>
      </c>
      <c r="H88" s="24" t="s">
        <v>638</v>
      </c>
      <c r="I88" s="24" t="s">
        <v>639</v>
      </c>
      <c r="J88" s="24" t="s">
        <v>108</v>
      </c>
      <c r="K88" s="24" t="s">
        <v>640</v>
      </c>
      <c r="L88" s="27" t="s">
        <v>641</v>
      </c>
      <c r="M88" s="28" t="s">
        <v>14</v>
      </c>
      <c r="N88" s="27" t="s">
        <v>1884</v>
      </c>
      <c r="O88" s="27" t="s">
        <v>112</v>
      </c>
      <c r="P88" s="29" t="s">
        <v>113</v>
      </c>
      <c r="Q88" s="27" t="s">
        <v>121</v>
      </c>
    </row>
    <row r="89" spans="1:17" x14ac:dyDescent="0.25">
      <c r="A89" s="30" t="s">
        <v>1971</v>
      </c>
      <c r="B89" s="27" t="s">
        <v>43</v>
      </c>
      <c r="C89" s="27" t="s">
        <v>623</v>
      </c>
      <c r="D89" s="27" t="s">
        <v>133</v>
      </c>
      <c r="E89" s="28" t="s">
        <v>103</v>
      </c>
      <c r="F89" s="36" t="s">
        <v>104</v>
      </c>
      <c r="G89" s="27" t="s">
        <v>643</v>
      </c>
      <c r="H89" s="27" t="s">
        <v>644</v>
      </c>
      <c r="I89" s="27" t="s">
        <v>645</v>
      </c>
      <c r="J89" s="27" t="s">
        <v>108</v>
      </c>
      <c r="K89" s="27" t="s">
        <v>646</v>
      </c>
      <c r="L89" s="27" t="s">
        <v>647</v>
      </c>
      <c r="M89" s="28" t="s">
        <v>14</v>
      </c>
      <c r="N89" s="27" t="s">
        <v>1884</v>
      </c>
      <c r="O89" s="27" t="s">
        <v>112</v>
      </c>
      <c r="P89" s="29" t="s">
        <v>113</v>
      </c>
      <c r="Q89" s="27" t="s">
        <v>121</v>
      </c>
    </row>
    <row r="90" spans="1:17" x14ac:dyDescent="0.25">
      <c r="A90" s="23" t="s">
        <v>1972</v>
      </c>
      <c r="B90" s="24" t="s">
        <v>43</v>
      </c>
      <c r="C90" s="24" t="s">
        <v>623</v>
      </c>
      <c r="D90" s="24" t="s">
        <v>649</v>
      </c>
      <c r="E90" s="25" t="s">
        <v>103</v>
      </c>
      <c r="F90" s="26" t="s">
        <v>104</v>
      </c>
      <c r="G90" s="24" t="s">
        <v>650</v>
      </c>
      <c r="H90" s="24" t="s">
        <v>651</v>
      </c>
      <c r="I90" s="24" t="s">
        <v>652</v>
      </c>
      <c r="J90" s="24" t="s">
        <v>108</v>
      </c>
      <c r="K90" s="24" t="s">
        <v>653</v>
      </c>
      <c r="L90" s="27" t="s">
        <v>654</v>
      </c>
      <c r="M90" s="28" t="s">
        <v>14</v>
      </c>
      <c r="N90" s="27" t="s">
        <v>1884</v>
      </c>
      <c r="O90" s="27" t="s">
        <v>112</v>
      </c>
      <c r="P90" s="29" t="s">
        <v>113</v>
      </c>
      <c r="Q90" s="27" t="s">
        <v>121</v>
      </c>
    </row>
    <row r="91" spans="1:17" x14ac:dyDescent="0.25">
      <c r="A91" s="30" t="s">
        <v>1973</v>
      </c>
      <c r="B91" s="27" t="s">
        <v>43</v>
      </c>
      <c r="C91" s="27" t="s">
        <v>623</v>
      </c>
      <c r="D91" s="27" t="s">
        <v>133</v>
      </c>
      <c r="E91" s="28" t="s">
        <v>103</v>
      </c>
      <c r="F91" s="31" t="s">
        <v>116</v>
      </c>
      <c r="G91" s="27" t="s">
        <v>656</v>
      </c>
      <c r="H91" s="27" t="s">
        <v>657</v>
      </c>
      <c r="I91" s="27" t="s">
        <v>658</v>
      </c>
      <c r="J91" s="27" t="s">
        <v>108</v>
      </c>
      <c r="K91" s="27" t="s">
        <v>659</v>
      </c>
      <c r="L91" s="27" t="s">
        <v>660</v>
      </c>
      <c r="M91" s="28" t="s">
        <v>14</v>
      </c>
      <c r="N91" s="27" t="s">
        <v>1884</v>
      </c>
      <c r="O91" s="27" t="s">
        <v>112</v>
      </c>
      <c r="P91" s="29" t="s">
        <v>113</v>
      </c>
      <c r="Q91" s="27" t="s">
        <v>121</v>
      </c>
    </row>
    <row r="92" spans="1:17" x14ac:dyDescent="0.25">
      <c r="A92" s="23" t="s">
        <v>1974</v>
      </c>
      <c r="B92" s="24" t="s">
        <v>43</v>
      </c>
      <c r="C92" s="24" t="s">
        <v>623</v>
      </c>
      <c r="D92" s="24" t="s">
        <v>133</v>
      </c>
      <c r="E92" s="25" t="s">
        <v>103</v>
      </c>
      <c r="F92" s="26" t="s">
        <v>104</v>
      </c>
      <c r="G92" s="24" t="s">
        <v>662</v>
      </c>
      <c r="H92" s="24" t="s">
        <v>663</v>
      </c>
      <c r="I92" s="24" t="s">
        <v>664</v>
      </c>
      <c r="J92" s="24" t="s">
        <v>108</v>
      </c>
      <c r="K92" s="24" t="s">
        <v>665</v>
      </c>
      <c r="L92" s="27" t="s">
        <v>666</v>
      </c>
      <c r="M92" s="28" t="s">
        <v>14</v>
      </c>
      <c r="N92" s="27" t="s">
        <v>1884</v>
      </c>
      <c r="O92" s="27" t="s">
        <v>112</v>
      </c>
      <c r="P92" s="29" t="s">
        <v>113</v>
      </c>
      <c r="Q92" s="27" t="s">
        <v>121</v>
      </c>
    </row>
    <row r="93" spans="1:17" x14ac:dyDescent="0.25">
      <c r="A93" s="30" t="s">
        <v>1975</v>
      </c>
      <c r="B93" s="27" t="s">
        <v>43</v>
      </c>
      <c r="C93" s="27" t="s">
        <v>623</v>
      </c>
      <c r="D93" s="27" t="s">
        <v>133</v>
      </c>
      <c r="E93" s="28" t="s">
        <v>103</v>
      </c>
      <c r="F93" s="31" t="s">
        <v>116</v>
      </c>
      <c r="G93" s="27" t="s">
        <v>668</v>
      </c>
      <c r="H93" s="27" t="s">
        <v>669</v>
      </c>
      <c r="I93" s="27" t="s">
        <v>670</v>
      </c>
      <c r="J93" s="27" t="s">
        <v>108</v>
      </c>
      <c r="K93" s="27" t="s">
        <v>671</v>
      </c>
      <c r="L93" s="27" t="s">
        <v>672</v>
      </c>
      <c r="M93" s="28" t="s">
        <v>14</v>
      </c>
      <c r="N93" s="27" t="s">
        <v>1884</v>
      </c>
      <c r="O93" s="27" t="s">
        <v>112</v>
      </c>
      <c r="P93" s="29" t="s">
        <v>113</v>
      </c>
      <c r="Q93" s="27" t="s">
        <v>121</v>
      </c>
    </row>
    <row r="94" spans="1:17" x14ac:dyDescent="0.25">
      <c r="A94" s="23" t="s">
        <v>1976</v>
      </c>
      <c r="B94" s="24" t="s">
        <v>43</v>
      </c>
      <c r="C94" s="24" t="s">
        <v>623</v>
      </c>
      <c r="D94" s="24" t="s">
        <v>133</v>
      </c>
      <c r="E94" s="25" t="s">
        <v>103</v>
      </c>
      <c r="F94" s="34" t="s">
        <v>116</v>
      </c>
      <c r="G94" s="24" t="s">
        <v>674</v>
      </c>
      <c r="H94" s="24" t="s">
        <v>675</v>
      </c>
      <c r="I94" s="24" t="s">
        <v>676</v>
      </c>
      <c r="J94" s="24" t="s">
        <v>108</v>
      </c>
      <c r="K94" s="24" t="s">
        <v>677</v>
      </c>
      <c r="L94" s="27" t="s">
        <v>678</v>
      </c>
      <c r="M94" s="28" t="s">
        <v>14</v>
      </c>
      <c r="N94" s="27" t="s">
        <v>1884</v>
      </c>
      <c r="O94" s="27" t="s">
        <v>112</v>
      </c>
      <c r="P94" s="29" t="s">
        <v>113</v>
      </c>
      <c r="Q94" s="27" t="s">
        <v>121</v>
      </c>
    </row>
    <row r="95" spans="1:17" x14ac:dyDescent="0.25">
      <c r="A95" s="30" t="s">
        <v>1977</v>
      </c>
      <c r="B95" s="27" t="s">
        <v>43</v>
      </c>
      <c r="C95" s="27" t="s">
        <v>623</v>
      </c>
      <c r="D95" s="27" t="s">
        <v>133</v>
      </c>
      <c r="E95" s="28" t="s">
        <v>103</v>
      </c>
      <c r="F95" s="31" t="s">
        <v>116</v>
      </c>
      <c r="G95" s="27" t="s">
        <v>680</v>
      </c>
      <c r="H95" s="27" t="s">
        <v>675</v>
      </c>
      <c r="I95" s="27" t="s">
        <v>681</v>
      </c>
      <c r="J95" s="27" t="s">
        <v>108</v>
      </c>
      <c r="K95" s="27" t="s">
        <v>682</v>
      </c>
      <c r="L95" s="27" t="s">
        <v>683</v>
      </c>
      <c r="M95" s="28" t="s">
        <v>14</v>
      </c>
      <c r="N95" s="27" t="s">
        <v>1884</v>
      </c>
      <c r="O95" s="27" t="s">
        <v>112</v>
      </c>
      <c r="P95" s="29" t="s">
        <v>113</v>
      </c>
      <c r="Q95" s="27" t="s">
        <v>121</v>
      </c>
    </row>
    <row r="96" spans="1:17" x14ac:dyDescent="0.25">
      <c r="A96" s="23" t="s">
        <v>1978</v>
      </c>
      <c r="B96" s="24" t="s">
        <v>43</v>
      </c>
      <c r="C96" s="24" t="s">
        <v>623</v>
      </c>
      <c r="D96" s="24" t="s">
        <v>133</v>
      </c>
      <c r="E96" s="25" t="s">
        <v>103</v>
      </c>
      <c r="F96" s="32" t="s">
        <v>134</v>
      </c>
      <c r="G96" s="24" t="s">
        <v>685</v>
      </c>
      <c r="H96" s="24" t="s">
        <v>686</v>
      </c>
      <c r="I96" s="24" t="s">
        <v>687</v>
      </c>
      <c r="J96" s="24" t="s">
        <v>108</v>
      </c>
      <c r="K96" s="24" t="s">
        <v>688</v>
      </c>
      <c r="L96" s="27" t="s">
        <v>689</v>
      </c>
      <c r="M96" s="28" t="s">
        <v>14</v>
      </c>
      <c r="N96" s="27" t="s">
        <v>1884</v>
      </c>
      <c r="O96" s="27" t="s">
        <v>112</v>
      </c>
      <c r="P96" s="29" t="s">
        <v>113</v>
      </c>
      <c r="Q96" s="27" t="s">
        <v>121</v>
      </c>
    </row>
    <row r="97" spans="1:17" x14ac:dyDescent="0.25">
      <c r="A97" s="30" t="s">
        <v>1979</v>
      </c>
      <c r="B97" s="27" t="s">
        <v>43</v>
      </c>
      <c r="C97" s="27" t="s">
        <v>623</v>
      </c>
      <c r="D97" s="27" t="s">
        <v>133</v>
      </c>
      <c r="E97" s="28" t="s">
        <v>141</v>
      </c>
      <c r="F97" s="33" t="s">
        <v>134</v>
      </c>
      <c r="G97" s="27" t="s">
        <v>691</v>
      </c>
      <c r="H97" s="27" t="s">
        <v>692</v>
      </c>
      <c r="I97" s="27" t="s">
        <v>693</v>
      </c>
      <c r="J97" s="27" t="s">
        <v>108</v>
      </c>
      <c r="K97" s="27" t="s">
        <v>694</v>
      </c>
      <c r="L97" s="27" t="s">
        <v>695</v>
      </c>
      <c r="M97" s="28" t="s">
        <v>14</v>
      </c>
      <c r="N97" s="27" t="s">
        <v>1884</v>
      </c>
      <c r="O97" s="27" t="s">
        <v>112</v>
      </c>
      <c r="P97" s="29" t="s">
        <v>113</v>
      </c>
      <c r="Q97" s="27" t="s">
        <v>121</v>
      </c>
    </row>
    <row r="98" spans="1:17" x14ac:dyDescent="0.25">
      <c r="A98" s="23" t="s">
        <v>1980</v>
      </c>
      <c r="B98" s="24" t="s">
        <v>43</v>
      </c>
      <c r="C98" s="24" t="s">
        <v>623</v>
      </c>
      <c r="D98" s="24" t="s">
        <v>133</v>
      </c>
      <c r="E98" s="25" t="s">
        <v>141</v>
      </c>
      <c r="F98" s="32" t="s">
        <v>134</v>
      </c>
      <c r="G98" s="24" t="s">
        <v>697</v>
      </c>
      <c r="H98" s="24" t="s">
        <v>698</v>
      </c>
      <c r="I98" s="24" t="s">
        <v>699</v>
      </c>
      <c r="J98" s="24" t="s">
        <v>108</v>
      </c>
      <c r="K98" s="24" t="s">
        <v>700</v>
      </c>
      <c r="L98" s="27" t="s">
        <v>701</v>
      </c>
      <c r="M98" s="28" t="s">
        <v>14</v>
      </c>
      <c r="N98" s="27" t="s">
        <v>1884</v>
      </c>
      <c r="O98" s="27" t="s">
        <v>112</v>
      </c>
      <c r="P98" s="29" t="s">
        <v>113</v>
      </c>
      <c r="Q98" s="27" t="s">
        <v>121</v>
      </c>
    </row>
    <row r="99" spans="1:17" x14ac:dyDescent="0.25">
      <c r="A99" s="30" t="s">
        <v>1981</v>
      </c>
      <c r="B99" s="27" t="s">
        <v>44</v>
      </c>
      <c r="C99" s="27" t="s">
        <v>703</v>
      </c>
      <c r="D99" s="27" t="s">
        <v>193</v>
      </c>
      <c r="E99" s="28" t="s">
        <v>103</v>
      </c>
      <c r="F99" s="36" t="s">
        <v>104</v>
      </c>
      <c r="G99" s="27" t="s">
        <v>704</v>
      </c>
      <c r="H99" s="27" t="s">
        <v>539</v>
      </c>
      <c r="I99" s="27" t="s">
        <v>705</v>
      </c>
      <c r="J99" s="27" t="s">
        <v>108</v>
      </c>
      <c r="K99" s="27" t="s">
        <v>706</v>
      </c>
      <c r="L99" s="27" t="s">
        <v>707</v>
      </c>
      <c r="M99" s="28" t="s">
        <v>14</v>
      </c>
      <c r="N99" s="27" t="s">
        <v>1884</v>
      </c>
      <c r="O99" s="27" t="s">
        <v>112</v>
      </c>
      <c r="P99" s="29" t="s">
        <v>113</v>
      </c>
      <c r="Q99" s="27" t="s">
        <v>121</v>
      </c>
    </row>
    <row r="100" spans="1:17" x14ac:dyDescent="0.25">
      <c r="A100" s="23" t="s">
        <v>1982</v>
      </c>
      <c r="B100" s="24" t="s">
        <v>44</v>
      </c>
      <c r="C100" s="24" t="s">
        <v>703</v>
      </c>
      <c r="D100" s="24" t="s">
        <v>544</v>
      </c>
      <c r="E100" s="25" t="s">
        <v>103</v>
      </c>
      <c r="F100" s="26" t="s">
        <v>104</v>
      </c>
      <c r="G100" s="24" t="s">
        <v>709</v>
      </c>
      <c r="H100" s="24" t="s">
        <v>710</v>
      </c>
      <c r="I100" s="24" t="s">
        <v>711</v>
      </c>
      <c r="J100" s="24" t="s">
        <v>108</v>
      </c>
      <c r="K100" s="24" t="s">
        <v>712</v>
      </c>
      <c r="L100" s="27" t="s">
        <v>713</v>
      </c>
      <c r="M100" s="28" t="s">
        <v>14</v>
      </c>
      <c r="N100" s="27" t="s">
        <v>1884</v>
      </c>
      <c r="O100" s="27" t="s">
        <v>112</v>
      </c>
      <c r="P100" s="29" t="s">
        <v>113</v>
      </c>
      <c r="Q100" s="27" t="s">
        <v>121</v>
      </c>
    </row>
    <row r="101" spans="1:17" x14ac:dyDescent="0.25">
      <c r="A101" s="30" t="s">
        <v>1983</v>
      </c>
      <c r="B101" s="27" t="s">
        <v>44</v>
      </c>
      <c r="C101" s="27" t="s">
        <v>715</v>
      </c>
      <c r="D101" s="27" t="s">
        <v>133</v>
      </c>
      <c r="E101" s="28" t="s">
        <v>103</v>
      </c>
      <c r="F101" s="31" t="s">
        <v>116</v>
      </c>
      <c r="G101" s="27" t="s">
        <v>716</v>
      </c>
      <c r="H101" s="27" t="s">
        <v>717</v>
      </c>
      <c r="I101" s="27" t="s">
        <v>718</v>
      </c>
      <c r="J101" s="27" t="s">
        <v>108</v>
      </c>
      <c r="K101" s="27" t="s">
        <v>719</v>
      </c>
      <c r="L101" s="27" t="s">
        <v>720</v>
      </c>
      <c r="M101" s="28" t="s">
        <v>14</v>
      </c>
      <c r="N101" s="27" t="s">
        <v>1884</v>
      </c>
      <c r="O101" s="27" t="s">
        <v>112</v>
      </c>
      <c r="P101" s="29" t="s">
        <v>113</v>
      </c>
      <c r="Q101" s="27" t="s">
        <v>121</v>
      </c>
    </row>
    <row r="102" spans="1:17" x14ac:dyDescent="0.25">
      <c r="A102" s="23" t="s">
        <v>1984</v>
      </c>
      <c r="B102" s="24" t="s">
        <v>44</v>
      </c>
      <c r="C102" s="24" t="s">
        <v>722</v>
      </c>
      <c r="D102" s="24" t="s">
        <v>234</v>
      </c>
      <c r="E102" s="25" t="s">
        <v>103</v>
      </c>
      <c r="F102" s="34" t="s">
        <v>116</v>
      </c>
      <c r="G102" s="24" t="s">
        <v>723</v>
      </c>
      <c r="H102" s="24" t="s">
        <v>724</v>
      </c>
      <c r="I102" s="24" t="s">
        <v>725</v>
      </c>
      <c r="J102" s="24" t="s">
        <v>108</v>
      </c>
      <c r="K102" s="24" t="s">
        <v>726</v>
      </c>
      <c r="L102" s="27" t="s">
        <v>727</v>
      </c>
      <c r="M102" s="28" t="s">
        <v>14</v>
      </c>
      <c r="N102" s="27" t="s">
        <v>1884</v>
      </c>
      <c r="O102" s="27" t="s">
        <v>112</v>
      </c>
      <c r="P102" s="29" t="s">
        <v>113</v>
      </c>
      <c r="Q102" s="27" t="s">
        <v>121</v>
      </c>
    </row>
    <row r="103" spans="1:17" x14ac:dyDescent="0.25">
      <c r="A103" s="30" t="s">
        <v>1985</v>
      </c>
      <c r="B103" s="27" t="s">
        <v>44</v>
      </c>
      <c r="C103" s="27" t="s">
        <v>722</v>
      </c>
      <c r="D103" s="27" t="s">
        <v>729</v>
      </c>
      <c r="E103" s="28" t="s">
        <v>103</v>
      </c>
      <c r="F103" s="31" t="s">
        <v>116</v>
      </c>
      <c r="G103" s="27" t="s">
        <v>730</v>
      </c>
      <c r="H103" s="27" t="s">
        <v>731</v>
      </c>
      <c r="I103" s="27" t="s">
        <v>732</v>
      </c>
      <c r="J103" s="27" t="s">
        <v>108</v>
      </c>
      <c r="K103" s="27" t="s">
        <v>733</v>
      </c>
      <c r="L103" s="27" t="s">
        <v>734</v>
      </c>
      <c r="M103" s="28" t="s">
        <v>14</v>
      </c>
      <c r="N103" s="27" t="s">
        <v>1884</v>
      </c>
      <c r="O103" s="27" t="s">
        <v>112</v>
      </c>
      <c r="P103" s="29" t="s">
        <v>113</v>
      </c>
      <c r="Q103" s="27" t="s">
        <v>121</v>
      </c>
    </row>
    <row r="104" spans="1:17" x14ac:dyDescent="0.25">
      <c r="A104" s="23" t="s">
        <v>1986</v>
      </c>
      <c r="B104" s="24" t="s">
        <v>44</v>
      </c>
      <c r="C104" s="24" t="s">
        <v>722</v>
      </c>
      <c r="D104" s="24" t="s">
        <v>133</v>
      </c>
      <c r="E104" s="25" t="s">
        <v>103</v>
      </c>
      <c r="F104" s="34" t="s">
        <v>116</v>
      </c>
      <c r="G104" s="24" t="s">
        <v>736</v>
      </c>
      <c r="H104" s="24" t="s">
        <v>737</v>
      </c>
      <c r="I104" s="24" t="s">
        <v>738</v>
      </c>
      <c r="J104" s="24" t="s">
        <v>108</v>
      </c>
      <c r="K104" s="24" t="s">
        <v>739</v>
      </c>
      <c r="L104" s="27" t="s">
        <v>740</v>
      </c>
      <c r="M104" s="28" t="s">
        <v>14</v>
      </c>
      <c r="N104" s="27" t="s">
        <v>1884</v>
      </c>
      <c r="O104" s="27" t="s">
        <v>112</v>
      </c>
      <c r="P104" s="29" t="s">
        <v>113</v>
      </c>
      <c r="Q104" s="27" t="s">
        <v>121</v>
      </c>
    </row>
    <row r="105" spans="1:17" x14ac:dyDescent="0.25">
      <c r="A105" s="30" t="s">
        <v>1987</v>
      </c>
      <c r="B105" s="27" t="s">
        <v>44</v>
      </c>
      <c r="C105" s="27" t="s">
        <v>742</v>
      </c>
      <c r="D105" s="27" t="s">
        <v>133</v>
      </c>
      <c r="E105" s="28" t="s">
        <v>103</v>
      </c>
      <c r="F105" s="33" t="s">
        <v>134</v>
      </c>
      <c r="G105" s="27" t="s">
        <v>743</v>
      </c>
      <c r="H105" s="27" t="s">
        <v>744</v>
      </c>
      <c r="I105" s="27" t="s">
        <v>745</v>
      </c>
      <c r="J105" s="27" t="s">
        <v>108</v>
      </c>
      <c r="K105" s="27" t="s">
        <v>746</v>
      </c>
      <c r="L105" s="27" t="s">
        <v>747</v>
      </c>
      <c r="M105" s="28" t="s">
        <v>14</v>
      </c>
      <c r="N105" s="27" t="s">
        <v>1884</v>
      </c>
      <c r="O105" s="27" t="s">
        <v>112</v>
      </c>
      <c r="P105" s="29" t="s">
        <v>113</v>
      </c>
      <c r="Q105" s="27" t="s">
        <v>121</v>
      </c>
    </row>
    <row r="106" spans="1:17" x14ac:dyDescent="0.25">
      <c r="A106" s="23" t="s">
        <v>1988</v>
      </c>
      <c r="B106" s="24" t="s">
        <v>44</v>
      </c>
      <c r="C106" s="24" t="s">
        <v>749</v>
      </c>
      <c r="D106" s="24" t="s">
        <v>750</v>
      </c>
      <c r="E106" s="25" t="s">
        <v>103</v>
      </c>
      <c r="F106" s="34" t="s">
        <v>116</v>
      </c>
      <c r="G106" s="24" t="s">
        <v>751</v>
      </c>
      <c r="H106" s="24" t="s">
        <v>752</v>
      </c>
      <c r="I106" s="24" t="s">
        <v>753</v>
      </c>
      <c r="J106" s="24" t="s">
        <v>108</v>
      </c>
      <c r="K106" s="24" t="s">
        <v>754</v>
      </c>
      <c r="L106" s="27" t="s">
        <v>755</v>
      </c>
      <c r="M106" s="28" t="s">
        <v>14</v>
      </c>
      <c r="N106" s="27" t="s">
        <v>1884</v>
      </c>
      <c r="O106" s="27" t="s">
        <v>112</v>
      </c>
      <c r="P106" s="29" t="s">
        <v>113</v>
      </c>
      <c r="Q106" s="27" t="s">
        <v>121</v>
      </c>
    </row>
    <row r="107" spans="1:17" x14ac:dyDescent="0.25">
      <c r="A107" s="30" t="s">
        <v>1989</v>
      </c>
      <c r="B107" s="27" t="s">
        <v>44</v>
      </c>
      <c r="C107" s="27" t="s">
        <v>757</v>
      </c>
      <c r="D107" s="27" t="s">
        <v>133</v>
      </c>
      <c r="E107" s="28" t="s">
        <v>103</v>
      </c>
      <c r="F107" s="31" t="s">
        <v>116</v>
      </c>
      <c r="G107" s="27" t="s">
        <v>758</v>
      </c>
      <c r="H107" s="27" t="s">
        <v>759</v>
      </c>
      <c r="I107" s="27" t="s">
        <v>760</v>
      </c>
      <c r="J107" s="27" t="s">
        <v>108</v>
      </c>
      <c r="K107" s="27" t="s">
        <v>761</v>
      </c>
      <c r="L107" s="27" t="s">
        <v>762</v>
      </c>
      <c r="M107" s="28" t="s">
        <v>14</v>
      </c>
      <c r="N107" s="27" t="s">
        <v>1884</v>
      </c>
      <c r="O107" s="27" t="s">
        <v>112</v>
      </c>
      <c r="P107" s="29" t="s">
        <v>113</v>
      </c>
      <c r="Q107" s="27" t="s">
        <v>763</v>
      </c>
    </row>
    <row r="108" spans="1:17" x14ac:dyDescent="0.25">
      <c r="A108" s="23" t="s">
        <v>1990</v>
      </c>
      <c r="B108" s="24" t="s">
        <v>44</v>
      </c>
      <c r="C108" s="24" t="s">
        <v>765</v>
      </c>
      <c r="D108" s="24" t="s">
        <v>234</v>
      </c>
      <c r="E108" s="25" t="s">
        <v>141</v>
      </c>
      <c r="F108" s="32" t="s">
        <v>134</v>
      </c>
      <c r="G108" s="24" t="s">
        <v>766</v>
      </c>
      <c r="H108" s="24" t="s">
        <v>767</v>
      </c>
      <c r="I108" s="24" t="s">
        <v>711</v>
      </c>
      <c r="J108" s="24" t="s">
        <v>108</v>
      </c>
      <c r="K108" s="24" t="s">
        <v>768</v>
      </c>
      <c r="L108" s="27" t="s">
        <v>769</v>
      </c>
      <c r="M108" s="28" t="s">
        <v>14</v>
      </c>
      <c r="N108" s="27" t="s">
        <v>1884</v>
      </c>
      <c r="O108" s="27" t="s">
        <v>112</v>
      </c>
      <c r="P108" s="29" t="s">
        <v>113</v>
      </c>
      <c r="Q108" s="27" t="s">
        <v>121</v>
      </c>
    </row>
    <row r="109" spans="1:17" x14ac:dyDescent="0.25">
      <c r="A109" s="30" t="s">
        <v>1991</v>
      </c>
      <c r="B109" s="27" t="s">
        <v>45</v>
      </c>
      <c r="C109" s="27" t="s">
        <v>771</v>
      </c>
      <c r="D109" s="27" t="s">
        <v>193</v>
      </c>
      <c r="E109" s="28" t="s">
        <v>103</v>
      </c>
      <c r="F109" s="36" t="s">
        <v>104</v>
      </c>
      <c r="G109" s="27" t="s">
        <v>772</v>
      </c>
      <c r="H109" s="27" t="s">
        <v>539</v>
      </c>
      <c r="I109" s="27" t="s">
        <v>773</v>
      </c>
      <c r="J109" s="27" t="s">
        <v>108</v>
      </c>
      <c r="K109" s="27" t="s">
        <v>774</v>
      </c>
      <c r="L109" s="27" t="s">
        <v>775</v>
      </c>
      <c r="M109" s="28" t="s">
        <v>14</v>
      </c>
      <c r="N109" s="27" t="s">
        <v>1884</v>
      </c>
      <c r="O109" s="27" t="s">
        <v>112</v>
      </c>
      <c r="P109" s="29" t="s">
        <v>113</v>
      </c>
      <c r="Q109" s="27" t="s">
        <v>121</v>
      </c>
    </row>
    <row r="110" spans="1:17" x14ac:dyDescent="0.25">
      <c r="A110" s="23" t="s">
        <v>1992</v>
      </c>
      <c r="B110" s="24" t="s">
        <v>45</v>
      </c>
      <c r="C110" s="24" t="s">
        <v>771</v>
      </c>
      <c r="D110" s="24" t="s">
        <v>193</v>
      </c>
      <c r="E110" s="25" t="s">
        <v>103</v>
      </c>
      <c r="F110" s="34" t="s">
        <v>116</v>
      </c>
      <c r="G110" s="24" t="s">
        <v>777</v>
      </c>
      <c r="H110" s="24" t="s">
        <v>778</v>
      </c>
      <c r="I110" s="24" t="s">
        <v>779</v>
      </c>
      <c r="J110" s="24" t="s">
        <v>108</v>
      </c>
      <c r="K110" s="24" t="s">
        <v>780</v>
      </c>
      <c r="L110" s="27" t="s">
        <v>781</v>
      </c>
      <c r="M110" s="28" t="s">
        <v>14</v>
      </c>
      <c r="N110" s="27" t="s">
        <v>1884</v>
      </c>
      <c r="O110" s="27" t="s">
        <v>112</v>
      </c>
      <c r="P110" s="29" t="s">
        <v>113</v>
      </c>
      <c r="Q110" s="27" t="s">
        <v>121</v>
      </c>
    </row>
    <row r="111" spans="1:17" x14ac:dyDescent="0.25">
      <c r="A111" s="30" t="s">
        <v>1993</v>
      </c>
      <c r="B111" s="27" t="s">
        <v>45</v>
      </c>
      <c r="C111" s="27" t="s">
        <v>783</v>
      </c>
      <c r="D111" s="27" t="s">
        <v>193</v>
      </c>
      <c r="E111" s="28" t="s">
        <v>103</v>
      </c>
      <c r="F111" s="36" t="s">
        <v>104</v>
      </c>
      <c r="G111" s="27" t="s">
        <v>784</v>
      </c>
      <c r="H111" s="27" t="s">
        <v>108</v>
      </c>
      <c r="I111" s="27" t="s">
        <v>785</v>
      </c>
      <c r="J111" s="27" t="s">
        <v>786</v>
      </c>
      <c r="K111" s="27" t="s">
        <v>787</v>
      </c>
      <c r="L111" s="27" t="s">
        <v>788</v>
      </c>
      <c r="M111" s="28" t="s">
        <v>14</v>
      </c>
      <c r="N111" s="27" t="s">
        <v>1884</v>
      </c>
      <c r="O111" s="27" t="s">
        <v>112</v>
      </c>
      <c r="P111" s="29" t="s">
        <v>113</v>
      </c>
      <c r="Q111" s="27" t="s">
        <v>121</v>
      </c>
    </row>
    <row r="112" spans="1:17" x14ac:dyDescent="0.25">
      <c r="A112" s="23" t="s">
        <v>1994</v>
      </c>
      <c r="B112" s="24" t="s">
        <v>45</v>
      </c>
      <c r="C112" s="24" t="s">
        <v>790</v>
      </c>
      <c r="D112" s="24" t="s">
        <v>193</v>
      </c>
      <c r="E112" s="25" t="s">
        <v>103</v>
      </c>
      <c r="F112" s="34" t="s">
        <v>116</v>
      </c>
      <c r="G112" s="24" t="s">
        <v>791</v>
      </c>
      <c r="H112" s="24" t="s">
        <v>108</v>
      </c>
      <c r="I112" s="24" t="s">
        <v>792</v>
      </c>
      <c r="J112" s="24" t="s">
        <v>108</v>
      </c>
      <c r="K112" s="24" t="s">
        <v>793</v>
      </c>
      <c r="L112" s="27" t="s">
        <v>794</v>
      </c>
      <c r="M112" s="28" t="s">
        <v>14</v>
      </c>
      <c r="N112" s="27" t="s">
        <v>1884</v>
      </c>
      <c r="O112" s="27" t="s">
        <v>112</v>
      </c>
      <c r="P112" s="29" t="s">
        <v>113</v>
      </c>
      <c r="Q112" s="27" t="s">
        <v>121</v>
      </c>
    </row>
    <row r="113" spans="1:17" x14ac:dyDescent="0.25">
      <c r="A113" s="30" t="s">
        <v>1995</v>
      </c>
      <c r="B113" s="27" t="s">
        <v>45</v>
      </c>
      <c r="C113" s="27" t="s">
        <v>790</v>
      </c>
      <c r="D113" s="27" t="s">
        <v>193</v>
      </c>
      <c r="E113" s="28" t="s">
        <v>103</v>
      </c>
      <c r="F113" s="31" t="s">
        <v>116</v>
      </c>
      <c r="G113" s="27" t="s">
        <v>796</v>
      </c>
      <c r="H113" s="27" t="s">
        <v>108</v>
      </c>
      <c r="I113" s="27" t="s">
        <v>797</v>
      </c>
      <c r="J113" s="27" t="s">
        <v>108</v>
      </c>
      <c r="K113" s="27" t="s">
        <v>798</v>
      </c>
      <c r="L113" s="27" t="s">
        <v>799</v>
      </c>
      <c r="M113" s="28" t="s">
        <v>14</v>
      </c>
      <c r="N113" s="27" t="s">
        <v>1884</v>
      </c>
      <c r="O113" s="27" t="s">
        <v>112</v>
      </c>
      <c r="P113" s="29" t="s">
        <v>113</v>
      </c>
      <c r="Q113" s="27" t="s">
        <v>121</v>
      </c>
    </row>
    <row r="114" spans="1:17" x14ac:dyDescent="0.25">
      <c r="A114" s="23" t="s">
        <v>1996</v>
      </c>
      <c r="B114" s="24" t="s">
        <v>45</v>
      </c>
      <c r="C114" s="24" t="s">
        <v>790</v>
      </c>
      <c r="D114" s="24" t="s">
        <v>193</v>
      </c>
      <c r="E114" s="25" t="s">
        <v>103</v>
      </c>
      <c r="F114" s="32" t="s">
        <v>134</v>
      </c>
      <c r="G114" s="24" t="s">
        <v>801</v>
      </c>
      <c r="H114" s="24" t="s">
        <v>108</v>
      </c>
      <c r="I114" s="24" t="s">
        <v>802</v>
      </c>
      <c r="J114" s="24" t="s">
        <v>108</v>
      </c>
      <c r="K114" s="24" t="s">
        <v>803</v>
      </c>
      <c r="L114" s="27" t="s">
        <v>804</v>
      </c>
      <c r="M114" s="28" t="s">
        <v>14</v>
      </c>
      <c r="N114" s="27" t="s">
        <v>1884</v>
      </c>
      <c r="O114" s="27" t="s">
        <v>112</v>
      </c>
      <c r="P114" s="29" t="s">
        <v>113</v>
      </c>
      <c r="Q114" s="27" t="s">
        <v>121</v>
      </c>
    </row>
    <row r="115" spans="1:17" x14ac:dyDescent="0.25">
      <c r="A115" s="30" t="s">
        <v>1997</v>
      </c>
      <c r="B115" s="27" t="s">
        <v>45</v>
      </c>
      <c r="C115" s="27" t="s">
        <v>806</v>
      </c>
      <c r="D115" s="27" t="s">
        <v>193</v>
      </c>
      <c r="E115" s="28" t="s">
        <v>103</v>
      </c>
      <c r="F115" s="35" t="s">
        <v>194</v>
      </c>
      <c r="G115" s="27" t="s">
        <v>807</v>
      </c>
      <c r="H115" s="27" t="s">
        <v>108</v>
      </c>
      <c r="I115" s="27" t="s">
        <v>808</v>
      </c>
      <c r="J115" s="27" t="s">
        <v>809</v>
      </c>
      <c r="K115" s="27" t="s">
        <v>810</v>
      </c>
      <c r="L115" s="27" t="s">
        <v>811</v>
      </c>
      <c r="M115" s="28" t="s">
        <v>14</v>
      </c>
      <c r="N115" s="27" t="s">
        <v>1884</v>
      </c>
      <c r="O115" s="27" t="s">
        <v>112</v>
      </c>
      <c r="P115" s="29" t="s">
        <v>113</v>
      </c>
      <c r="Q115" s="27" t="s">
        <v>121</v>
      </c>
    </row>
    <row r="116" spans="1:17" x14ac:dyDescent="0.25">
      <c r="A116" s="23" t="s">
        <v>1998</v>
      </c>
      <c r="B116" s="24" t="s">
        <v>45</v>
      </c>
      <c r="C116" s="24" t="s">
        <v>806</v>
      </c>
      <c r="D116" s="24" t="s">
        <v>193</v>
      </c>
      <c r="E116" s="25" t="s">
        <v>167</v>
      </c>
      <c r="F116" s="26" t="s">
        <v>104</v>
      </c>
      <c r="G116" s="24" t="s">
        <v>813</v>
      </c>
      <c r="H116" s="24" t="s">
        <v>814</v>
      </c>
      <c r="I116" s="24" t="s">
        <v>815</v>
      </c>
      <c r="J116" s="24" t="s">
        <v>816</v>
      </c>
      <c r="K116" s="24" t="s">
        <v>817</v>
      </c>
      <c r="L116" s="27" t="s">
        <v>818</v>
      </c>
      <c r="M116" s="28" t="s">
        <v>14</v>
      </c>
      <c r="N116" s="27" t="s">
        <v>1884</v>
      </c>
      <c r="O116" s="27" t="s">
        <v>112</v>
      </c>
      <c r="P116" s="29" t="s">
        <v>113</v>
      </c>
      <c r="Q116" s="27" t="s">
        <v>819</v>
      </c>
    </row>
    <row r="117" spans="1:17" x14ac:dyDescent="0.25">
      <c r="A117" s="30" t="s">
        <v>1999</v>
      </c>
      <c r="B117" s="27" t="s">
        <v>45</v>
      </c>
      <c r="C117" s="27" t="s">
        <v>806</v>
      </c>
      <c r="D117" s="27" t="s">
        <v>193</v>
      </c>
      <c r="E117" s="28" t="s">
        <v>167</v>
      </c>
      <c r="F117" s="36" t="s">
        <v>104</v>
      </c>
      <c r="G117" s="27" t="s">
        <v>821</v>
      </c>
      <c r="H117" s="27" t="s">
        <v>108</v>
      </c>
      <c r="I117" s="27" t="s">
        <v>822</v>
      </c>
      <c r="J117" s="27" t="s">
        <v>108</v>
      </c>
      <c r="K117" s="27" t="s">
        <v>823</v>
      </c>
      <c r="L117" s="27" t="s">
        <v>824</v>
      </c>
      <c r="M117" s="28" t="s">
        <v>14</v>
      </c>
      <c r="N117" s="27" t="s">
        <v>1884</v>
      </c>
      <c r="O117" s="27" t="s">
        <v>112</v>
      </c>
      <c r="P117" s="29" t="s">
        <v>113</v>
      </c>
      <c r="Q117" s="27" t="s">
        <v>121</v>
      </c>
    </row>
    <row r="118" spans="1:17" x14ac:dyDescent="0.25">
      <c r="A118" s="23" t="s">
        <v>2000</v>
      </c>
      <c r="B118" s="24" t="s">
        <v>45</v>
      </c>
      <c r="C118" s="24" t="s">
        <v>806</v>
      </c>
      <c r="D118" s="24" t="s">
        <v>193</v>
      </c>
      <c r="E118" s="25" t="s">
        <v>167</v>
      </c>
      <c r="F118" s="34" t="s">
        <v>116</v>
      </c>
      <c r="G118" s="24" t="s">
        <v>826</v>
      </c>
      <c r="H118" s="24" t="s">
        <v>108</v>
      </c>
      <c r="I118" s="24" t="s">
        <v>827</v>
      </c>
      <c r="J118" s="24" t="s">
        <v>828</v>
      </c>
      <c r="K118" s="24" t="s">
        <v>829</v>
      </c>
      <c r="L118" s="27" t="s">
        <v>830</v>
      </c>
      <c r="M118" s="28" t="s">
        <v>14</v>
      </c>
      <c r="N118" s="27" t="s">
        <v>1884</v>
      </c>
      <c r="O118" s="27" t="s">
        <v>112</v>
      </c>
      <c r="P118" s="29" t="s">
        <v>113</v>
      </c>
      <c r="Q118" s="27" t="s">
        <v>121</v>
      </c>
    </row>
    <row r="119" spans="1:17" x14ac:dyDescent="0.25">
      <c r="A119" s="30" t="s">
        <v>2001</v>
      </c>
      <c r="B119" s="27" t="s">
        <v>45</v>
      </c>
      <c r="C119" s="27" t="s">
        <v>806</v>
      </c>
      <c r="D119" s="27" t="s">
        <v>193</v>
      </c>
      <c r="E119" s="28" t="s">
        <v>167</v>
      </c>
      <c r="F119" s="36" t="s">
        <v>104</v>
      </c>
      <c r="G119" s="27" t="s">
        <v>832</v>
      </c>
      <c r="H119" s="27" t="s">
        <v>108</v>
      </c>
      <c r="I119" s="27" t="s">
        <v>833</v>
      </c>
      <c r="J119" s="27" t="s">
        <v>108</v>
      </c>
      <c r="K119" s="27" t="s">
        <v>834</v>
      </c>
      <c r="L119" s="27" t="s">
        <v>835</v>
      </c>
      <c r="M119" s="28" t="s">
        <v>14</v>
      </c>
      <c r="N119" s="27" t="s">
        <v>1884</v>
      </c>
      <c r="O119" s="27" t="s">
        <v>112</v>
      </c>
      <c r="P119" s="29" t="s">
        <v>113</v>
      </c>
      <c r="Q119" s="27" t="s">
        <v>121</v>
      </c>
    </row>
    <row r="120" spans="1:17" x14ac:dyDescent="0.25">
      <c r="A120" s="23" t="s">
        <v>2002</v>
      </c>
      <c r="B120" s="24" t="s">
        <v>45</v>
      </c>
      <c r="C120" s="24" t="s">
        <v>806</v>
      </c>
      <c r="D120" s="24" t="s">
        <v>193</v>
      </c>
      <c r="E120" s="25" t="s">
        <v>103</v>
      </c>
      <c r="F120" s="34" t="s">
        <v>116</v>
      </c>
      <c r="G120" s="24" t="s">
        <v>837</v>
      </c>
      <c r="H120" s="24" t="s">
        <v>108</v>
      </c>
      <c r="I120" s="24" t="s">
        <v>838</v>
      </c>
      <c r="J120" s="24" t="s">
        <v>839</v>
      </c>
      <c r="K120" s="24" t="s">
        <v>840</v>
      </c>
      <c r="L120" s="27" t="s">
        <v>841</v>
      </c>
      <c r="M120" s="28" t="s">
        <v>14</v>
      </c>
      <c r="N120" s="27" t="s">
        <v>1884</v>
      </c>
      <c r="O120" s="27" t="s">
        <v>112</v>
      </c>
      <c r="P120" s="29" t="s">
        <v>113</v>
      </c>
      <c r="Q120" s="27" t="s">
        <v>842</v>
      </c>
    </row>
    <row r="121" spans="1:17" x14ac:dyDescent="0.25">
      <c r="A121" s="30" t="s">
        <v>2003</v>
      </c>
      <c r="B121" s="27" t="s">
        <v>45</v>
      </c>
      <c r="C121" s="27" t="s">
        <v>806</v>
      </c>
      <c r="D121" s="27" t="s">
        <v>193</v>
      </c>
      <c r="E121" s="28" t="s">
        <v>167</v>
      </c>
      <c r="F121" s="31" t="s">
        <v>116</v>
      </c>
      <c r="G121" s="27" t="s">
        <v>844</v>
      </c>
      <c r="H121" s="27" t="s">
        <v>108</v>
      </c>
      <c r="I121" s="27" t="s">
        <v>845</v>
      </c>
      <c r="J121" s="27" t="s">
        <v>846</v>
      </c>
      <c r="K121" s="27" t="s">
        <v>847</v>
      </c>
      <c r="L121" s="27" t="s">
        <v>848</v>
      </c>
      <c r="M121" s="28" t="s">
        <v>14</v>
      </c>
      <c r="N121" s="27" t="s">
        <v>1884</v>
      </c>
      <c r="O121" s="27" t="s">
        <v>112</v>
      </c>
      <c r="P121" s="29" t="s">
        <v>113</v>
      </c>
      <c r="Q121" s="27" t="s">
        <v>121</v>
      </c>
    </row>
    <row r="122" spans="1:17" x14ac:dyDescent="0.25">
      <c r="A122" s="23" t="s">
        <v>2004</v>
      </c>
      <c r="B122" s="24" t="s">
        <v>45</v>
      </c>
      <c r="C122" s="24" t="s">
        <v>806</v>
      </c>
      <c r="D122" s="24" t="s">
        <v>193</v>
      </c>
      <c r="E122" s="25" t="s">
        <v>103</v>
      </c>
      <c r="F122" s="32" t="s">
        <v>134</v>
      </c>
      <c r="G122" s="24" t="s">
        <v>850</v>
      </c>
      <c r="H122" s="24" t="s">
        <v>108</v>
      </c>
      <c r="I122" s="24" t="s">
        <v>851</v>
      </c>
      <c r="J122" s="24" t="s">
        <v>852</v>
      </c>
      <c r="K122" s="24" t="s">
        <v>853</v>
      </c>
      <c r="L122" s="27" t="s">
        <v>854</v>
      </c>
      <c r="M122" s="28" t="s">
        <v>14</v>
      </c>
      <c r="N122" s="27" t="s">
        <v>1884</v>
      </c>
      <c r="O122" s="27" t="s">
        <v>112</v>
      </c>
      <c r="P122" s="29" t="s">
        <v>113</v>
      </c>
      <c r="Q122" s="27" t="s">
        <v>121</v>
      </c>
    </row>
    <row r="123" spans="1:17" x14ac:dyDescent="0.25">
      <c r="A123" s="30" t="s">
        <v>2005</v>
      </c>
      <c r="B123" s="27" t="s">
        <v>45</v>
      </c>
      <c r="C123" s="27" t="s">
        <v>806</v>
      </c>
      <c r="D123" s="27" t="s">
        <v>193</v>
      </c>
      <c r="E123" s="28" t="s">
        <v>103</v>
      </c>
      <c r="F123" s="31" t="s">
        <v>116</v>
      </c>
      <c r="G123" s="27" t="s">
        <v>856</v>
      </c>
      <c r="H123" s="27" t="s">
        <v>108</v>
      </c>
      <c r="I123" s="27" t="s">
        <v>857</v>
      </c>
      <c r="J123" s="27" t="s">
        <v>108</v>
      </c>
      <c r="K123" s="27" t="s">
        <v>858</v>
      </c>
      <c r="L123" s="27" t="s">
        <v>859</v>
      </c>
      <c r="M123" s="28" t="s">
        <v>14</v>
      </c>
      <c r="N123" s="27" t="s">
        <v>1884</v>
      </c>
      <c r="O123" s="27" t="s">
        <v>112</v>
      </c>
      <c r="P123" s="29" t="s">
        <v>113</v>
      </c>
      <c r="Q123" s="27" t="s">
        <v>121</v>
      </c>
    </row>
    <row r="124" spans="1:17" x14ac:dyDescent="0.25">
      <c r="A124" s="23" t="s">
        <v>2006</v>
      </c>
      <c r="B124" s="24" t="s">
        <v>45</v>
      </c>
      <c r="C124" s="24" t="s">
        <v>806</v>
      </c>
      <c r="D124" s="24" t="s">
        <v>193</v>
      </c>
      <c r="E124" s="25" t="s">
        <v>103</v>
      </c>
      <c r="F124" s="32" t="s">
        <v>134</v>
      </c>
      <c r="G124" s="24" t="s">
        <v>861</v>
      </c>
      <c r="H124" s="24" t="s">
        <v>108</v>
      </c>
      <c r="I124" s="24" t="s">
        <v>862</v>
      </c>
      <c r="J124" s="24" t="s">
        <v>108</v>
      </c>
      <c r="K124" s="24" t="s">
        <v>863</v>
      </c>
      <c r="L124" s="27" t="s">
        <v>864</v>
      </c>
      <c r="M124" s="28" t="s">
        <v>14</v>
      </c>
      <c r="N124" s="27" t="s">
        <v>1884</v>
      </c>
      <c r="O124" s="27" t="s">
        <v>112</v>
      </c>
      <c r="P124" s="29" t="s">
        <v>113</v>
      </c>
      <c r="Q124" s="27" t="s">
        <v>121</v>
      </c>
    </row>
    <row r="125" spans="1:17" x14ac:dyDescent="0.25">
      <c r="A125" s="30" t="s">
        <v>2007</v>
      </c>
      <c r="B125" s="27" t="s">
        <v>45</v>
      </c>
      <c r="C125" s="27" t="s">
        <v>866</v>
      </c>
      <c r="D125" s="27" t="s">
        <v>193</v>
      </c>
      <c r="E125" s="28" t="s">
        <v>103</v>
      </c>
      <c r="F125" s="35" t="s">
        <v>194</v>
      </c>
      <c r="G125" s="27" t="s">
        <v>867</v>
      </c>
      <c r="H125" s="27" t="s">
        <v>868</v>
      </c>
      <c r="I125" s="27" t="s">
        <v>869</v>
      </c>
      <c r="J125" s="27" t="s">
        <v>108</v>
      </c>
      <c r="K125" s="27" t="s">
        <v>870</v>
      </c>
      <c r="L125" s="27" t="s">
        <v>871</v>
      </c>
      <c r="M125" s="28" t="s">
        <v>14</v>
      </c>
      <c r="N125" s="27" t="s">
        <v>1884</v>
      </c>
      <c r="O125" s="27" t="s">
        <v>112</v>
      </c>
      <c r="P125" s="29" t="s">
        <v>113</v>
      </c>
      <c r="Q125" s="27" t="s">
        <v>121</v>
      </c>
    </row>
    <row r="126" spans="1:17" x14ac:dyDescent="0.25">
      <c r="A126" s="23" t="s">
        <v>2008</v>
      </c>
      <c r="B126" s="24" t="s">
        <v>45</v>
      </c>
      <c r="C126" s="24" t="s">
        <v>866</v>
      </c>
      <c r="D126" s="24" t="s">
        <v>193</v>
      </c>
      <c r="E126" s="25" t="s">
        <v>103</v>
      </c>
      <c r="F126" s="34" t="s">
        <v>116</v>
      </c>
      <c r="G126" s="24" t="s">
        <v>873</v>
      </c>
      <c r="H126" s="24" t="s">
        <v>108</v>
      </c>
      <c r="I126" s="24" t="s">
        <v>874</v>
      </c>
      <c r="J126" s="24" t="s">
        <v>108</v>
      </c>
      <c r="K126" s="24" t="s">
        <v>875</v>
      </c>
      <c r="L126" s="27" t="s">
        <v>876</v>
      </c>
      <c r="M126" s="28" t="s">
        <v>14</v>
      </c>
      <c r="N126" s="27" t="s">
        <v>1884</v>
      </c>
      <c r="O126" s="27" t="s">
        <v>112</v>
      </c>
      <c r="P126" s="29" t="s">
        <v>113</v>
      </c>
      <c r="Q126" s="27" t="s">
        <v>121</v>
      </c>
    </row>
    <row r="127" spans="1:17" x14ac:dyDescent="0.25">
      <c r="A127" s="30" t="s">
        <v>2009</v>
      </c>
      <c r="B127" s="27" t="s">
        <v>45</v>
      </c>
      <c r="C127" s="27" t="s">
        <v>866</v>
      </c>
      <c r="D127" s="27" t="s">
        <v>193</v>
      </c>
      <c r="E127" s="28" t="s">
        <v>103</v>
      </c>
      <c r="F127" s="36" t="s">
        <v>104</v>
      </c>
      <c r="G127" s="27" t="s">
        <v>878</v>
      </c>
      <c r="H127" s="27" t="s">
        <v>108</v>
      </c>
      <c r="I127" s="27" t="s">
        <v>879</v>
      </c>
      <c r="J127" s="27" t="s">
        <v>880</v>
      </c>
      <c r="K127" s="27" t="s">
        <v>881</v>
      </c>
      <c r="L127" s="27" t="s">
        <v>882</v>
      </c>
      <c r="M127" s="28" t="s">
        <v>14</v>
      </c>
      <c r="N127" s="27" t="s">
        <v>1884</v>
      </c>
      <c r="O127" s="27" t="s">
        <v>112</v>
      </c>
      <c r="P127" s="29" t="s">
        <v>113</v>
      </c>
      <c r="Q127" s="27" t="s">
        <v>121</v>
      </c>
    </row>
    <row r="128" spans="1:17" x14ac:dyDescent="0.25">
      <c r="A128" s="23" t="s">
        <v>2010</v>
      </c>
      <c r="B128" s="24" t="s">
        <v>45</v>
      </c>
      <c r="C128" s="24" t="s">
        <v>866</v>
      </c>
      <c r="D128" s="24" t="s">
        <v>193</v>
      </c>
      <c r="E128" s="25" t="s">
        <v>167</v>
      </c>
      <c r="F128" s="26" t="s">
        <v>104</v>
      </c>
      <c r="G128" s="24" t="s">
        <v>884</v>
      </c>
      <c r="H128" s="24" t="s">
        <v>108</v>
      </c>
      <c r="I128" s="24" t="s">
        <v>885</v>
      </c>
      <c r="J128" s="24" t="s">
        <v>108</v>
      </c>
      <c r="K128" s="24" t="s">
        <v>886</v>
      </c>
      <c r="L128" s="27" t="s">
        <v>887</v>
      </c>
      <c r="M128" s="28" t="s">
        <v>14</v>
      </c>
      <c r="N128" s="27" t="s">
        <v>1884</v>
      </c>
      <c r="O128" s="27" t="s">
        <v>112</v>
      </c>
      <c r="P128" s="29" t="s">
        <v>113</v>
      </c>
      <c r="Q128" s="27" t="s">
        <v>121</v>
      </c>
    </row>
    <row r="129" spans="1:17" x14ac:dyDescent="0.25">
      <c r="A129" s="30" t="s">
        <v>2011</v>
      </c>
      <c r="B129" s="27" t="s">
        <v>45</v>
      </c>
      <c r="C129" s="27" t="s">
        <v>866</v>
      </c>
      <c r="D129" s="27" t="s">
        <v>193</v>
      </c>
      <c r="E129" s="28" t="s">
        <v>103</v>
      </c>
      <c r="F129" s="36" t="s">
        <v>104</v>
      </c>
      <c r="G129" s="27" t="s">
        <v>889</v>
      </c>
      <c r="H129" s="27" t="s">
        <v>472</v>
      </c>
      <c r="I129" s="27" t="s">
        <v>890</v>
      </c>
      <c r="J129" s="27" t="s">
        <v>108</v>
      </c>
      <c r="K129" s="27" t="s">
        <v>891</v>
      </c>
      <c r="L129" s="27" t="s">
        <v>892</v>
      </c>
      <c r="M129" s="28" t="s">
        <v>14</v>
      </c>
      <c r="N129" s="27" t="s">
        <v>1884</v>
      </c>
      <c r="O129" s="27" t="s">
        <v>112</v>
      </c>
      <c r="P129" s="29" t="s">
        <v>113</v>
      </c>
      <c r="Q129" s="27" t="s">
        <v>121</v>
      </c>
    </row>
    <row r="130" spans="1:17" x14ac:dyDescent="0.25">
      <c r="A130" s="23" t="s">
        <v>2012</v>
      </c>
      <c r="B130" s="24" t="s">
        <v>45</v>
      </c>
      <c r="C130" s="24" t="s">
        <v>866</v>
      </c>
      <c r="D130" s="24" t="s">
        <v>193</v>
      </c>
      <c r="E130" s="25" t="s">
        <v>103</v>
      </c>
      <c r="F130" s="32" t="s">
        <v>134</v>
      </c>
      <c r="G130" s="24" t="s">
        <v>894</v>
      </c>
      <c r="H130" s="24" t="s">
        <v>895</v>
      </c>
      <c r="I130" s="24" t="s">
        <v>896</v>
      </c>
      <c r="J130" s="24" t="s">
        <v>108</v>
      </c>
      <c r="K130" s="24" t="s">
        <v>897</v>
      </c>
      <c r="L130" s="27" t="s">
        <v>898</v>
      </c>
      <c r="M130" s="28" t="s">
        <v>14</v>
      </c>
      <c r="N130" s="27" t="s">
        <v>1884</v>
      </c>
      <c r="O130" s="27" t="s">
        <v>112</v>
      </c>
      <c r="P130" s="29" t="s">
        <v>113</v>
      </c>
      <c r="Q130" s="27" t="s">
        <v>121</v>
      </c>
    </row>
    <row r="131" spans="1:17" x14ac:dyDescent="0.25">
      <c r="A131" s="30" t="s">
        <v>2013</v>
      </c>
      <c r="B131" s="27" t="s">
        <v>45</v>
      </c>
      <c r="C131" s="27" t="s">
        <v>95</v>
      </c>
      <c r="D131" s="27" t="s">
        <v>193</v>
      </c>
      <c r="E131" s="28" t="s">
        <v>103</v>
      </c>
      <c r="F131" s="35" t="s">
        <v>194</v>
      </c>
      <c r="G131" s="27" t="s">
        <v>900</v>
      </c>
      <c r="H131" s="27" t="s">
        <v>901</v>
      </c>
      <c r="I131" s="27" t="s">
        <v>902</v>
      </c>
      <c r="J131" s="27" t="s">
        <v>108</v>
      </c>
      <c r="K131" s="27" t="s">
        <v>903</v>
      </c>
      <c r="L131" s="27" t="s">
        <v>904</v>
      </c>
      <c r="M131" s="28" t="s">
        <v>14</v>
      </c>
      <c r="N131" s="27" t="s">
        <v>1884</v>
      </c>
      <c r="O131" s="27" t="s">
        <v>112</v>
      </c>
      <c r="P131" s="29" t="s">
        <v>113</v>
      </c>
      <c r="Q131" s="27" t="s">
        <v>121</v>
      </c>
    </row>
    <row r="132" spans="1:17" x14ac:dyDescent="0.25">
      <c r="A132" s="23" t="s">
        <v>2014</v>
      </c>
      <c r="B132" s="24" t="s">
        <v>45</v>
      </c>
      <c r="C132" s="24" t="s">
        <v>95</v>
      </c>
      <c r="D132" s="24" t="s">
        <v>193</v>
      </c>
      <c r="E132" s="25" t="s">
        <v>103</v>
      </c>
      <c r="F132" s="26" t="s">
        <v>104</v>
      </c>
      <c r="G132" s="24" t="s">
        <v>906</v>
      </c>
      <c r="H132" s="24" t="s">
        <v>907</v>
      </c>
      <c r="I132" s="24" t="s">
        <v>908</v>
      </c>
      <c r="J132" s="24" t="s">
        <v>108</v>
      </c>
      <c r="K132" s="24" t="s">
        <v>909</v>
      </c>
      <c r="L132" s="27" t="s">
        <v>910</v>
      </c>
      <c r="M132" s="28" t="s">
        <v>14</v>
      </c>
      <c r="N132" s="27" t="s">
        <v>1884</v>
      </c>
      <c r="O132" s="27" t="s">
        <v>112</v>
      </c>
      <c r="P132" s="29" t="s">
        <v>113</v>
      </c>
      <c r="Q132" s="27" t="s">
        <v>121</v>
      </c>
    </row>
    <row r="133" spans="1:17" x14ac:dyDescent="0.25">
      <c r="A133" s="30" t="s">
        <v>2015</v>
      </c>
      <c r="B133" s="27" t="s">
        <v>45</v>
      </c>
      <c r="C133" s="27" t="s">
        <v>95</v>
      </c>
      <c r="D133" s="27" t="s">
        <v>193</v>
      </c>
      <c r="E133" s="28" t="s">
        <v>103</v>
      </c>
      <c r="F133" s="33" t="s">
        <v>134</v>
      </c>
      <c r="G133" s="27" t="s">
        <v>912</v>
      </c>
      <c r="H133" s="27" t="s">
        <v>108</v>
      </c>
      <c r="I133" s="27" t="s">
        <v>913</v>
      </c>
      <c r="J133" s="27" t="s">
        <v>108</v>
      </c>
      <c r="K133" s="27" t="s">
        <v>914</v>
      </c>
      <c r="L133" s="27" t="s">
        <v>915</v>
      </c>
      <c r="M133" s="28" t="s">
        <v>14</v>
      </c>
      <c r="N133" s="27" t="s">
        <v>1884</v>
      </c>
      <c r="O133" s="27" t="s">
        <v>112</v>
      </c>
      <c r="P133" s="29" t="s">
        <v>113</v>
      </c>
      <c r="Q133" s="27" t="s">
        <v>121</v>
      </c>
    </row>
    <row r="134" spans="1:17" x14ac:dyDescent="0.25">
      <c r="A134" s="23" t="s">
        <v>2016</v>
      </c>
      <c r="B134" s="24" t="s">
        <v>45</v>
      </c>
      <c r="C134" s="24" t="s">
        <v>917</v>
      </c>
      <c r="D134" s="24" t="s">
        <v>193</v>
      </c>
      <c r="E134" s="25" t="s">
        <v>103</v>
      </c>
      <c r="F134" s="37" t="s">
        <v>194</v>
      </c>
      <c r="G134" s="24" t="s">
        <v>918</v>
      </c>
      <c r="H134" s="24" t="s">
        <v>919</v>
      </c>
      <c r="I134" s="24" t="s">
        <v>920</v>
      </c>
      <c r="J134" s="24" t="s">
        <v>108</v>
      </c>
      <c r="K134" s="24" t="s">
        <v>921</v>
      </c>
      <c r="L134" s="27" t="s">
        <v>922</v>
      </c>
      <c r="M134" s="28" t="s">
        <v>14</v>
      </c>
      <c r="N134" s="27" t="s">
        <v>1884</v>
      </c>
      <c r="O134" s="27" t="s">
        <v>112</v>
      </c>
      <c r="P134" s="29" t="s">
        <v>113</v>
      </c>
      <c r="Q134" s="27" t="s">
        <v>121</v>
      </c>
    </row>
    <row r="135" spans="1:17" x14ac:dyDescent="0.25">
      <c r="A135" s="30" t="s">
        <v>2017</v>
      </c>
      <c r="B135" s="27" t="s">
        <v>45</v>
      </c>
      <c r="C135" s="27" t="s">
        <v>917</v>
      </c>
      <c r="D135" s="27" t="s">
        <v>193</v>
      </c>
      <c r="E135" s="28" t="s">
        <v>103</v>
      </c>
      <c r="F135" s="33" t="s">
        <v>134</v>
      </c>
      <c r="G135" s="27" t="s">
        <v>924</v>
      </c>
      <c r="H135" s="27" t="s">
        <v>108</v>
      </c>
      <c r="I135" s="27" t="s">
        <v>925</v>
      </c>
      <c r="J135" s="27" t="s">
        <v>108</v>
      </c>
      <c r="K135" s="27" t="s">
        <v>926</v>
      </c>
      <c r="L135" s="27" t="s">
        <v>927</v>
      </c>
      <c r="M135" s="28" t="s">
        <v>14</v>
      </c>
      <c r="N135" s="27" t="s">
        <v>1884</v>
      </c>
      <c r="O135" s="27" t="s">
        <v>112</v>
      </c>
      <c r="P135" s="29" t="s">
        <v>113</v>
      </c>
      <c r="Q135" s="27" t="s">
        <v>121</v>
      </c>
    </row>
    <row r="136" spans="1:17" x14ac:dyDescent="0.25">
      <c r="A136" s="23" t="s">
        <v>2018</v>
      </c>
      <c r="B136" s="24" t="s">
        <v>45</v>
      </c>
      <c r="C136" s="24" t="s">
        <v>917</v>
      </c>
      <c r="D136" s="24" t="s">
        <v>193</v>
      </c>
      <c r="E136" s="25" t="s">
        <v>103</v>
      </c>
      <c r="F136" s="34" t="s">
        <v>116</v>
      </c>
      <c r="G136" s="24" t="s">
        <v>929</v>
      </c>
      <c r="H136" s="24" t="s">
        <v>930</v>
      </c>
      <c r="I136" s="24" t="s">
        <v>931</v>
      </c>
      <c r="J136" s="24" t="s">
        <v>108</v>
      </c>
      <c r="K136" s="24" t="s">
        <v>932</v>
      </c>
      <c r="L136" s="27" t="s">
        <v>933</v>
      </c>
      <c r="M136" s="28" t="s">
        <v>14</v>
      </c>
      <c r="N136" s="27" t="s">
        <v>1884</v>
      </c>
      <c r="O136" s="27" t="s">
        <v>112</v>
      </c>
      <c r="P136" s="29" t="s">
        <v>113</v>
      </c>
      <c r="Q136" s="27" t="s">
        <v>934</v>
      </c>
    </row>
    <row r="137" spans="1:17" x14ac:dyDescent="0.25">
      <c r="A137" s="30" t="s">
        <v>2019</v>
      </c>
      <c r="B137" s="27" t="s">
        <v>45</v>
      </c>
      <c r="C137" s="27" t="s">
        <v>917</v>
      </c>
      <c r="D137" s="27" t="s">
        <v>193</v>
      </c>
      <c r="E137" s="28" t="s">
        <v>103</v>
      </c>
      <c r="F137" s="31" t="s">
        <v>116</v>
      </c>
      <c r="G137" s="27" t="s">
        <v>936</v>
      </c>
      <c r="H137" s="27" t="s">
        <v>937</v>
      </c>
      <c r="I137" s="27" t="s">
        <v>938</v>
      </c>
      <c r="J137" s="27" t="s">
        <v>108</v>
      </c>
      <c r="K137" s="27" t="s">
        <v>939</v>
      </c>
      <c r="L137" s="27" t="s">
        <v>940</v>
      </c>
      <c r="M137" s="28" t="s">
        <v>14</v>
      </c>
      <c r="N137" s="27" t="s">
        <v>1884</v>
      </c>
      <c r="O137" s="27" t="s">
        <v>112</v>
      </c>
      <c r="P137" s="29" t="s">
        <v>113</v>
      </c>
      <c r="Q137" s="27" t="s">
        <v>121</v>
      </c>
    </row>
    <row r="138" spans="1:17" x14ac:dyDescent="0.25">
      <c r="A138" s="23" t="s">
        <v>2020</v>
      </c>
      <c r="B138" s="24" t="s">
        <v>45</v>
      </c>
      <c r="C138" s="24" t="s">
        <v>942</v>
      </c>
      <c r="D138" s="24" t="s">
        <v>193</v>
      </c>
      <c r="E138" s="25" t="s">
        <v>103</v>
      </c>
      <c r="F138" s="26" t="s">
        <v>104</v>
      </c>
      <c r="G138" s="24" t="s">
        <v>943</v>
      </c>
      <c r="H138" s="24" t="s">
        <v>108</v>
      </c>
      <c r="I138" s="24" t="s">
        <v>944</v>
      </c>
      <c r="J138" s="24" t="s">
        <v>108</v>
      </c>
      <c r="K138" s="24" t="s">
        <v>945</v>
      </c>
      <c r="L138" s="27" t="s">
        <v>946</v>
      </c>
      <c r="M138" s="28" t="s">
        <v>14</v>
      </c>
      <c r="N138" s="27" t="s">
        <v>1884</v>
      </c>
      <c r="O138" s="27" t="s">
        <v>112</v>
      </c>
      <c r="P138" s="29" t="s">
        <v>113</v>
      </c>
      <c r="Q138" s="27" t="s">
        <v>121</v>
      </c>
    </row>
    <row r="139" spans="1:17" x14ac:dyDescent="0.25">
      <c r="A139" s="30" t="s">
        <v>2021</v>
      </c>
      <c r="B139" s="27" t="s">
        <v>45</v>
      </c>
      <c r="C139" s="27" t="s">
        <v>948</v>
      </c>
      <c r="D139" s="27" t="s">
        <v>193</v>
      </c>
      <c r="E139" s="28" t="s">
        <v>103</v>
      </c>
      <c r="F139" s="35" t="s">
        <v>194</v>
      </c>
      <c r="G139" s="27" t="s">
        <v>949</v>
      </c>
      <c r="H139" s="27" t="s">
        <v>950</v>
      </c>
      <c r="I139" s="27" t="s">
        <v>951</v>
      </c>
      <c r="J139" s="27" t="s">
        <v>952</v>
      </c>
      <c r="K139" s="27" t="s">
        <v>953</v>
      </c>
      <c r="L139" s="27" t="s">
        <v>954</v>
      </c>
      <c r="M139" s="28" t="s">
        <v>14</v>
      </c>
      <c r="N139" s="27" t="s">
        <v>1884</v>
      </c>
      <c r="O139" s="27" t="s">
        <v>112</v>
      </c>
      <c r="P139" s="29" t="s">
        <v>113</v>
      </c>
      <c r="Q139" s="27" t="s">
        <v>121</v>
      </c>
    </row>
    <row r="140" spans="1:17" x14ac:dyDescent="0.25">
      <c r="A140" s="23" t="s">
        <v>2022</v>
      </c>
      <c r="B140" s="24" t="s">
        <v>45</v>
      </c>
      <c r="C140" s="24" t="s">
        <v>948</v>
      </c>
      <c r="D140" s="24" t="s">
        <v>193</v>
      </c>
      <c r="E140" s="25" t="s">
        <v>103</v>
      </c>
      <c r="F140" s="37" t="s">
        <v>194</v>
      </c>
      <c r="G140" s="24" t="s">
        <v>956</v>
      </c>
      <c r="H140" s="24" t="s">
        <v>957</v>
      </c>
      <c r="I140" s="24" t="s">
        <v>958</v>
      </c>
      <c r="J140" s="24" t="s">
        <v>108</v>
      </c>
      <c r="K140" s="24" t="s">
        <v>959</v>
      </c>
      <c r="L140" s="27" t="s">
        <v>960</v>
      </c>
      <c r="M140" s="28" t="s">
        <v>14</v>
      </c>
      <c r="N140" s="27" t="s">
        <v>1884</v>
      </c>
      <c r="O140" s="27" t="s">
        <v>112</v>
      </c>
      <c r="P140" s="29" t="s">
        <v>113</v>
      </c>
      <c r="Q140" s="27" t="s">
        <v>121</v>
      </c>
    </row>
    <row r="141" spans="1:17" x14ac:dyDescent="0.25">
      <c r="A141" s="30" t="s">
        <v>2023</v>
      </c>
      <c r="B141" s="27" t="s">
        <v>45</v>
      </c>
      <c r="C141" s="27" t="s">
        <v>948</v>
      </c>
      <c r="D141" s="27" t="s">
        <v>193</v>
      </c>
      <c r="E141" s="28" t="s">
        <v>103</v>
      </c>
      <c r="F141" s="31" t="s">
        <v>116</v>
      </c>
      <c r="G141" s="27" t="s">
        <v>962</v>
      </c>
      <c r="H141" s="27" t="s">
        <v>957</v>
      </c>
      <c r="I141" s="27" t="s">
        <v>963</v>
      </c>
      <c r="J141" s="27" t="s">
        <v>108</v>
      </c>
      <c r="K141" s="27" t="s">
        <v>964</v>
      </c>
      <c r="L141" s="27" t="s">
        <v>965</v>
      </c>
      <c r="M141" s="28" t="s">
        <v>14</v>
      </c>
      <c r="N141" s="27" t="s">
        <v>1884</v>
      </c>
      <c r="O141" s="27" t="s">
        <v>112</v>
      </c>
      <c r="P141" s="29" t="s">
        <v>113</v>
      </c>
      <c r="Q141" s="27" t="s">
        <v>121</v>
      </c>
    </row>
    <row r="142" spans="1:17" x14ac:dyDescent="0.25">
      <c r="A142" s="23" t="s">
        <v>2024</v>
      </c>
      <c r="B142" s="24" t="s">
        <v>45</v>
      </c>
      <c r="C142" s="24" t="s">
        <v>948</v>
      </c>
      <c r="D142" s="24" t="s">
        <v>193</v>
      </c>
      <c r="E142" s="25" t="s">
        <v>103</v>
      </c>
      <c r="F142" s="26" t="s">
        <v>104</v>
      </c>
      <c r="G142" s="24" t="s">
        <v>967</v>
      </c>
      <c r="H142" s="24" t="s">
        <v>968</v>
      </c>
      <c r="I142" s="24" t="s">
        <v>969</v>
      </c>
      <c r="J142" s="24" t="s">
        <v>970</v>
      </c>
      <c r="K142" s="24" t="s">
        <v>971</v>
      </c>
      <c r="L142" s="27" t="s">
        <v>972</v>
      </c>
      <c r="M142" s="28" t="s">
        <v>14</v>
      </c>
      <c r="N142" s="27" t="s">
        <v>1884</v>
      </c>
      <c r="O142" s="27" t="s">
        <v>112</v>
      </c>
      <c r="P142" s="29" t="s">
        <v>113</v>
      </c>
      <c r="Q142" s="27" t="s">
        <v>121</v>
      </c>
    </row>
    <row r="143" spans="1:17" x14ac:dyDescent="0.25">
      <c r="A143" s="30" t="s">
        <v>2025</v>
      </c>
      <c r="B143" s="27" t="s">
        <v>45</v>
      </c>
      <c r="C143" s="27" t="s">
        <v>948</v>
      </c>
      <c r="D143" s="27" t="s">
        <v>193</v>
      </c>
      <c r="E143" s="28" t="s">
        <v>167</v>
      </c>
      <c r="F143" s="31" t="s">
        <v>116</v>
      </c>
      <c r="G143" s="27" t="s">
        <v>974</v>
      </c>
      <c r="H143" s="27" t="s">
        <v>108</v>
      </c>
      <c r="I143" s="27" t="s">
        <v>975</v>
      </c>
      <c r="J143" s="27" t="s">
        <v>108</v>
      </c>
      <c r="K143" s="27" t="s">
        <v>976</v>
      </c>
      <c r="L143" s="27" t="s">
        <v>977</v>
      </c>
      <c r="M143" s="28" t="s">
        <v>14</v>
      </c>
      <c r="N143" s="27" t="s">
        <v>1884</v>
      </c>
      <c r="O143" s="27" t="s">
        <v>112</v>
      </c>
      <c r="P143" s="29" t="s">
        <v>113</v>
      </c>
      <c r="Q143" s="27" t="s">
        <v>121</v>
      </c>
    </row>
    <row r="144" spans="1:17" x14ac:dyDescent="0.25">
      <c r="A144" s="23" t="s">
        <v>2026</v>
      </c>
      <c r="B144" s="24" t="s">
        <v>45</v>
      </c>
      <c r="C144" s="24" t="s">
        <v>948</v>
      </c>
      <c r="D144" s="24" t="s">
        <v>193</v>
      </c>
      <c r="E144" s="25" t="s">
        <v>167</v>
      </c>
      <c r="F144" s="34" t="s">
        <v>116</v>
      </c>
      <c r="G144" s="24" t="s">
        <v>979</v>
      </c>
      <c r="H144" s="24" t="s">
        <v>108</v>
      </c>
      <c r="I144" s="24" t="s">
        <v>980</v>
      </c>
      <c r="J144" s="24" t="s">
        <v>108</v>
      </c>
      <c r="K144" s="24" t="s">
        <v>981</v>
      </c>
      <c r="L144" s="27" t="s">
        <v>982</v>
      </c>
      <c r="M144" s="28" t="s">
        <v>14</v>
      </c>
      <c r="N144" s="27" t="s">
        <v>1884</v>
      </c>
      <c r="O144" s="27" t="s">
        <v>112</v>
      </c>
      <c r="P144" s="29" t="s">
        <v>113</v>
      </c>
      <c r="Q144" s="27" t="s">
        <v>121</v>
      </c>
    </row>
    <row r="145" spans="1:17" x14ac:dyDescent="0.25">
      <c r="A145" s="30" t="s">
        <v>2027</v>
      </c>
      <c r="B145" s="27" t="s">
        <v>45</v>
      </c>
      <c r="C145" s="27" t="s">
        <v>948</v>
      </c>
      <c r="D145" s="27" t="s">
        <v>193</v>
      </c>
      <c r="E145" s="28" t="s">
        <v>167</v>
      </c>
      <c r="F145" s="31" t="s">
        <v>116</v>
      </c>
      <c r="G145" s="27" t="s">
        <v>984</v>
      </c>
      <c r="H145" s="27" t="s">
        <v>108</v>
      </c>
      <c r="I145" s="27" t="s">
        <v>985</v>
      </c>
      <c r="J145" s="27" t="s">
        <v>108</v>
      </c>
      <c r="K145" s="27" t="s">
        <v>986</v>
      </c>
      <c r="L145" s="27" t="s">
        <v>987</v>
      </c>
      <c r="M145" s="28" t="s">
        <v>14</v>
      </c>
      <c r="N145" s="27" t="s">
        <v>1884</v>
      </c>
      <c r="O145" s="27" t="s">
        <v>112</v>
      </c>
      <c r="P145" s="29" t="s">
        <v>113</v>
      </c>
      <c r="Q145" s="27" t="s">
        <v>121</v>
      </c>
    </row>
    <row r="146" spans="1:17" x14ac:dyDescent="0.25">
      <c r="A146" s="23" t="s">
        <v>2028</v>
      </c>
      <c r="B146" s="24" t="s">
        <v>45</v>
      </c>
      <c r="C146" s="24" t="s">
        <v>948</v>
      </c>
      <c r="D146" s="24" t="s">
        <v>193</v>
      </c>
      <c r="E146" s="25" t="s">
        <v>103</v>
      </c>
      <c r="F146" s="34" t="s">
        <v>116</v>
      </c>
      <c r="G146" s="24" t="s">
        <v>989</v>
      </c>
      <c r="H146" s="24" t="s">
        <v>108</v>
      </c>
      <c r="I146" s="24" t="s">
        <v>990</v>
      </c>
      <c r="J146" s="24" t="s">
        <v>108</v>
      </c>
      <c r="K146" s="24" t="s">
        <v>991</v>
      </c>
      <c r="L146" s="27" t="s">
        <v>992</v>
      </c>
      <c r="M146" s="28" t="s">
        <v>14</v>
      </c>
      <c r="N146" s="27" t="s">
        <v>1884</v>
      </c>
      <c r="O146" s="27" t="s">
        <v>112</v>
      </c>
      <c r="P146" s="29" t="s">
        <v>113</v>
      </c>
      <c r="Q146" s="27" t="s">
        <v>993</v>
      </c>
    </row>
    <row r="147" spans="1:17" x14ac:dyDescent="0.25">
      <c r="A147" s="30" t="s">
        <v>2029</v>
      </c>
      <c r="B147" s="27" t="s">
        <v>45</v>
      </c>
      <c r="C147" s="27" t="s">
        <v>995</v>
      </c>
      <c r="D147" s="27" t="s">
        <v>193</v>
      </c>
      <c r="E147" s="28" t="s">
        <v>103</v>
      </c>
      <c r="F147" s="36" t="s">
        <v>104</v>
      </c>
      <c r="G147" s="27" t="s">
        <v>996</v>
      </c>
      <c r="H147" s="27" t="s">
        <v>997</v>
      </c>
      <c r="I147" s="27" t="s">
        <v>998</v>
      </c>
      <c r="J147" s="27" t="s">
        <v>108</v>
      </c>
      <c r="K147" s="27" t="s">
        <v>999</v>
      </c>
      <c r="L147" s="27" t="s">
        <v>1000</v>
      </c>
      <c r="M147" s="28" t="s">
        <v>14</v>
      </c>
      <c r="N147" s="27" t="s">
        <v>1884</v>
      </c>
      <c r="O147" s="27" t="s">
        <v>112</v>
      </c>
      <c r="P147" s="29" t="s">
        <v>113</v>
      </c>
      <c r="Q147" s="27" t="s">
        <v>121</v>
      </c>
    </row>
    <row r="148" spans="1:17" x14ac:dyDescent="0.25">
      <c r="A148" s="23" t="s">
        <v>2030</v>
      </c>
      <c r="B148" s="24" t="s">
        <v>45</v>
      </c>
      <c r="C148" s="24" t="s">
        <v>995</v>
      </c>
      <c r="D148" s="24" t="s">
        <v>193</v>
      </c>
      <c r="E148" s="25" t="s">
        <v>103</v>
      </c>
      <c r="F148" s="32" t="s">
        <v>134</v>
      </c>
      <c r="G148" s="24" t="s">
        <v>1002</v>
      </c>
      <c r="H148" s="24" t="s">
        <v>1003</v>
      </c>
      <c r="I148" s="24" t="s">
        <v>1004</v>
      </c>
      <c r="J148" s="24" t="s">
        <v>108</v>
      </c>
      <c r="K148" s="24" t="s">
        <v>1005</v>
      </c>
      <c r="L148" s="27" t="s">
        <v>1006</v>
      </c>
      <c r="M148" s="28" t="s">
        <v>14</v>
      </c>
      <c r="N148" s="27" t="s">
        <v>1884</v>
      </c>
      <c r="O148" s="27" t="s">
        <v>112</v>
      </c>
      <c r="P148" s="29" t="s">
        <v>113</v>
      </c>
      <c r="Q148" s="27" t="s">
        <v>121</v>
      </c>
    </row>
    <row r="149" spans="1:17" x14ac:dyDescent="0.25">
      <c r="A149" s="30" t="s">
        <v>2031</v>
      </c>
      <c r="B149" s="27" t="s">
        <v>45</v>
      </c>
      <c r="C149" s="27" t="s">
        <v>757</v>
      </c>
      <c r="D149" s="27" t="s">
        <v>193</v>
      </c>
      <c r="E149" s="28" t="s">
        <v>103</v>
      </c>
      <c r="F149" s="33" t="s">
        <v>134</v>
      </c>
      <c r="G149" s="27" t="s">
        <v>1008</v>
      </c>
      <c r="H149" s="27" t="s">
        <v>1009</v>
      </c>
      <c r="I149" s="27" t="s">
        <v>1010</v>
      </c>
      <c r="J149" s="27" t="s">
        <v>108</v>
      </c>
      <c r="K149" s="27" t="s">
        <v>1011</v>
      </c>
      <c r="L149" s="27" t="s">
        <v>1012</v>
      </c>
      <c r="M149" s="28" t="s">
        <v>14</v>
      </c>
      <c r="N149" s="27" t="s">
        <v>1884</v>
      </c>
      <c r="O149" s="27" t="s">
        <v>112</v>
      </c>
      <c r="P149" s="29" t="s">
        <v>113</v>
      </c>
      <c r="Q149" s="27" t="s">
        <v>121</v>
      </c>
    </row>
    <row r="150" spans="1:17" x14ac:dyDescent="0.25">
      <c r="A150" s="23" t="s">
        <v>2032</v>
      </c>
      <c r="B150" s="24" t="s">
        <v>45</v>
      </c>
      <c r="C150" s="24" t="s">
        <v>1014</v>
      </c>
      <c r="D150" s="24" t="s">
        <v>193</v>
      </c>
      <c r="E150" s="25" t="s">
        <v>141</v>
      </c>
      <c r="F150" s="32" t="s">
        <v>134</v>
      </c>
      <c r="G150" s="24" t="s">
        <v>1015</v>
      </c>
      <c r="H150" s="24" t="s">
        <v>1016</v>
      </c>
      <c r="I150" s="24" t="s">
        <v>1017</v>
      </c>
      <c r="J150" s="24" t="s">
        <v>108</v>
      </c>
      <c r="K150" s="24" t="s">
        <v>1018</v>
      </c>
      <c r="L150" s="27" t="s">
        <v>1019</v>
      </c>
      <c r="M150" s="28" t="s">
        <v>14</v>
      </c>
      <c r="N150" s="27" t="s">
        <v>1884</v>
      </c>
      <c r="O150" s="27" t="s">
        <v>112</v>
      </c>
      <c r="P150" s="29" t="s">
        <v>113</v>
      </c>
      <c r="Q150" s="27" t="s">
        <v>121</v>
      </c>
    </row>
    <row r="151" spans="1:17" x14ac:dyDescent="0.25">
      <c r="A151" s="30" t="s">
        <v>2033</v>
      </c>
      <c r="B151" s="27" t="s">
        <v>46</v>
      </c>
      <c r="C151" s="27" t="s">
        <v>1021</v>
      </c>
      <c r="D151" s="27" t="s">
        <v>193</v>
      </c>
      <c r="E151" s="28" t="s">
        <v>103</v>
      </c>
      <c r="F151" s="35" t="s">
        <v>194</v>
      </c>
      <c r="G151" s="27" t="s">
        <v>1022</v>
      </c>
      <c r="H151" s="27" t="s">
        <v>539</v>
      </c>
      <c r="I151" s="27" t="s">
        <v>1023</v>
      </c>
      <c r="J151" s="27" t="s">
        <v>108</v>
      </c>
      <c r="K151" s="27" t="s">
        <v>1024</v>
      </c>
      <c r="L151" s="27" t="s">
        <v>1025</v>
      </c>
      <c r="M151" s="28" t="s">
        <v>14</v>
      </c>
      <c r="N151" s="27" t="s">
        <v>1884</v>
      </c>
      <c r="O151" s="27" t="s">
        <v>112</v>
      </c>
      <c r="P151" s="29" t="s">
        <v>113</v>
      </c>
      <c r="Q151" s="27" t="s">
        <v>121</v>
      </c>
    </row>
    <row r="152" spans="1:17" x14ac:dyDescent="0.25">
      <c r="A152" s="23" t="s">
        <v>2034</v>
      </c>
      <c r="B152" s="24" t="s">
        <v>46</v>
      </c>
      <c r="C152" s="24" t="s">
        <v>1021</v>
      </c>
      <c r="D152" s="24" t="s">
        <v>1027</v>
      </c>
      <c r="E152" s="25" t="s">
        <v>103</v>
      </c>
      <c r="F152" s="37" t="s">
        <v>194</v>
      </c>
      <c r="G152" s="24" t="s">
        <v>1028</v>
      </c>
      <c r="H152" s="24" t="s">
        <v>1029</v>
      </c>
      <c r="I152" s="24" t="s">
        <v>1030</v>
      </c>
      <c r="J152" s="24" t="s">
        <v>108</v>
      </c>
      <c r="K152" s="24" t="s">
        <v>1031</v>
      </c>
      <c r="L152" s="27" t="s">
        <v>1032</v>
      </c>
      <c r="M152" s="28" t="s">
        <v>14</v>
      </c>
      <c r="N152" s="27" t="s">
        <v>1884</v>
      </c>
      <c r="O152" s="27" t="s">
        <v>112</v>
      </c>
      <c r="P152" s="29" t="s">
        <v>113</v>
      </c>
      <c r="Q152" s="27" t="s">
        <v>121</v>
      </c>
    </row>
    <row r="153" spans="1:17" x14ac:dyDescent="0.25">
      <c r="A153" s="30" t="s">
        <v>2035</v>
      </c>
      <c r="B153" s="27" t="s">
        <v>46</v>
      </c>
      <c r="C153" s="27" t="s">
        <v>1021</v>
      </c>
      <c r="D153" s="27" t="s">
        <v>234</v>
      </c>
      <c r="E153" s="28" t="s">
        <v>103</v>
      </c>
      <c r="F153" s="35" t="s">
        <v>194</v>
      </c>
      <c r="G153" s="27" t="s">
        <v>1034</v>
      </c>
      <c r="H153" s="27" t="s">
        <v>1035</v>
      </c>
      <c r="I153" s="27" t="s">
        <v>1023</v>
      </c>
      <c r="J153" s="27" t="s">
        <v>108</v>
      </c>
      <c r="K153" s="27" t="s">
        <v>1036</v>
      </c>
      <c r="L153" s="27" t="s">
        <v>1037</v>
      </c>
      <c r="M153" s="28" t="s">
        <v>14</v>
      </c>
      <c r="N153" s="27" t="s">
        <v>1884</v>
      </c>
      <c r="O153" s="27" t="s">
        <v>112</v>
      </c>
      <c r="P153" s="29" t="s">
        <v>113</v>
      </c>
      <c r="Q153" s="27" t="s">
        <v>121</v>
      </c>
    </row>
    <row r="154" spans="1:17" x14ac:dyDescent="0.25">
      <c r="A154" s="23" t="s">
        <v>2036</v>
      </c>
      <c r="B154" s="24" t="s">
        <v>46</v>
      </c>
      <c r="C154" s="24" t="s">
        <v>806</v>
      </c>
      <c r="D154" s="24" t="s">
        <v>750</v>
      </c>
      <c r="E154" s="25" t="s">
        <v>103</v>
      </c>
      <c r="F154" s="37" t="s">
        <v>194</v>
      </c>
      <c r="G154" s="24" t="s">
        <v>1039</v>
      </c>
      <c r="H154" s="24" t="s">
        <v>1040</v>
      </c>
      <c r="I154" s="24" t="s">
        <v>1041</v>
      </c>
      <c r="J154" s="24" t="s">
        <v>1042</v>
      </c>
      <c r="K154" s="24" t="s">
        <v>1043</v>
      </c>
      <c r="L154" s="27" t="s">
        <v>1044</v>
      </c>
      <c r="M154" s="28" t="s">
        <v>14</v>
      </c>
      <c r="N154" s="27" t="s">
        <v>1884</v>
      </c>
      <c r="O154" s="27" t="s">
        <v>112</v>
      </c>
      <c r="P154" s="29" t="s">
        <v>113</v>
      </c>
      <c r="Q154" s="27" t="s">
        <v>121</v>
      </c>
    </row>
    <row r="155" spans="1:17" x14ac:dyDescent="0.25">
      <c r="A155" s="30" t="s">
        <v>2037</v>
      </c>
      <c r="B155" s="27" t="s">
        <v>46</v>
      </c>
      <c r="C155" s="27" t="s">
        <v>806</v>
      </c>
      <c r="D155" s="27" t="s">
        <v>750</v>
      </c>
      <c r="E155" s="28" t="s">
        <v>167</v>
      </c>
      <c r="F155" s="36" t="s">
        <v>104</v>
      </c>
      <c r="G155" s="27" t="s">
        <v>1046</v>
      </c>
      <c r="H155" s="27" t="s">
        <v>108</v>
      </c>
      <c r="I155" s="27" t="s">
        <v>1047</v>
      </c>
      <c r="J155" s="27" t="s">
        <v>108</v>
      </c>
      <c r="K155" s="27" t="s">
        <v>1048</v>
      </c>
      <c r="L155" s="27" t="s">
        <v>1049</v>
      </c>
      <c r="M155" s="28" t="s">
        <v>14</v>
      </c>
      <c r="N155" s="27" t="s">
        <v>1884</v>
      </c>
      <c r="O155" s="27" t="s">
        <v>112</v>
      </c>
      <c r="P155" s="29" t="s">
        <v>113</v>
      </c>
      <c r="Q155" s="27" t="s">
        <v>121</v>
      </c>
    </row>
    <row r="156" spans="1:17" x14ac:dyDescent="0.25">
      <c r="A156" s="23" t="s">
        <v>2038</v>
      </c>
      <c r="B156" s="24" t="s">
        <v>46</v>
      </c>
      <c r="C156" s="24" t="s">
        <v>806</v>
      </c>
      <c r="D156" s="24" t="s">
        <v>750</v>
      </c>
      <c r="E156" s="25" t="s">
        <v>167</v>
      </c>
      <c r="F156" s="32" t="s">
        <v>134</v>
      </c>
      <c r="G156" s="24" t="s">
        <v>1051</v>
      </c>
      <c r="H156" s="24" t="s">
        <v>108</v>
      </c>
      <c r="I156" s="24" t="s">
        <v>1052</v>
      </c>
      <c r="J156" s="24" t="s">
        <v>108</v>
      </c>
      <c r="K156" s="24" t="s">
        <v>1053</v>
      </c>
      <c r="L156" s="27" t="s">
        <v>1054</v>
      </c>
      <c r="M156" s="28" t="s">
        <v>14</v>
      </c>
      <c r="N156" s="27" t="s">
        <v>1884</v>
      </c>
      <c r="O156" s="27" t="s">
        <v>112</v>
      </c>
      <c r="P156" s="29" t="s">
        <v>113</v>
      </c>
      <c r="Q156" s="27" t="s">
        <v>1055</v>
      </c>
    </row>
    <row r="157" spans="1:17" x14ac:dyDescent="0.25">
      <c r="A157" s="30" t="s">
        <v>2039</v>
      </c>
      <c r="B157" s="27" t="s">
        <v>46</v>
      </c>
      <c r="C157" s="27" t="s">
        <v>806</v>
      </c>
      <c r="D157" s="27" t="s">
        <v>750</v>
      </c>
      <c r="E157" s="28" t="s">
        <v>103</v>
      </c>
      <c r="F157" s="36" t="s">
        <v>104</v>
      </c>
      <c r="G157" s="27" t="s">
        <v>1057</v>
      </c>
      <c r="H157" s="27" t="s">
        <v>1058</v>
      </c>
      <c r="I157" s="27" t="s">
        <v>1059</v>
      </c>
      <c r="J157" s="27" t="s">
        <v>108</v>
      </c>
      <c r="K157" s="27" t="s">
        <v>1060</v>
      </c>
      <c r="L157" s="27" t="s">
        <v>1061</v>
      </c>
      <c r="M157" s="28" t="s">
        <v>14</v>
      </c>
      <c r="N157" s="27" t="s">
        <v>1884</v>
      </c>
      <c r="O157" s="27" t="s">
        <v>112</v>
      </c>
      <c r="P157" s="29" t="s">
        <v>113</v>
      </c>
      <c r="Q157" s="27" t="s">
        <v>121</v>
      </c>
    </row>
    <row r="158" spans="1:17" x14ac:dyDescent="0.25">
      <c r="A158" s="23" t="s">
        <v>2040</v>
      </c>
      <c r="B158" s="24" t="s">
        <v>46</v>
      </c>
      <c r="C158" s="24" t="s">
        <v>806</v>
      </c>
      <c r="D158" s="24" t="s">
        <v>234</v>
      </c>
      <c r="E158" s="25" t="s">
        <v>288</v>
      </c>
      <c r="F158" s="26" t="s">
        <v>104</v>
      </c>
      <c r="G158" s="24" t="s">
        <v>1063</v>
      </c>
      <c r="H158" s="24" t="s">
        <v>1064</v>
      </c>
      <c r="I158" s="24" t="s">
        <v>1065</v>
      </c>
      <c r="J158" s="24" t="s">
        <v>108</v>
      </c>
      <c r="K158" s="24" t="s">
        <v>1066</v>
      </c>
      <c r="L158" s="27" t="s">
        <v>1067</v>
      </c>
      <c r="M158" s="28" t="s">
        <v>14</v>
      </c>
      <c r="N158" s="27" t="s">
        <v>1884</v>
      </c>
      <c r="O158" s="27" t="s">
        <v>112</v>
      </c>
      <c r="P158" s="29" t="s">
        <v>113</v>
      </c>
      <c r="Q158" s="27" t="s">
        <v>1068</v>
      </c>
    </row>
    <row r="159" spans="1:17" x14ac:dyDescent="0.25">
      <c r="A159" s="30" t="s">
        <v>2041</v>
      </c>
      <c r="B159" s="27" t="s">
        <v>46</v>
      </c>
      <c r="C159" s="27" t="s">
        <v>783</v>
      </c>
      <c r="D159" s="27" t="s">
        <v>133</v>
      </c>
      <c r="E159" s="28" t="s">
        <v>103</v>
      </c>
      <c r="F159" s="31" t="s">
        <v>116</v>
      </c>
      <c r="G159" s="27" t="s">
        <v>1070</v>
      </c>
      <c r="H159" s="27" t="s">
        <v>1071</v>
      </c>
      <c r="I159" s="27" t="s">
        <v>1072</v>
      </c>
      <c r="J159" s="27" t="s">
        <v>1073</v>
      </c>
      <c r="K159" s="27" t="s">
        <v>1074</v>
      </c>
      <c r="L159" s="27" t="s">
        <v>1075</v>
      </c>
      <c r="M159" s="28" t="s">
        <v>14</v>
      </c>
      <c r="N159" s="27" t="s">
        <v>1884</v>
      </c>
      <c r="O159" s="27" t="s">
        <v>112</v>
      </c>
      <c r="P159" s="29" t="s">
        <v>113</v>
      </c>
      <c r="Q159" s="27" t="s">
        <v>121</v>
      </c>
    </row>
    <row r="160" spans="1:17" x14ac:dyDescent="0.25">
      <c r="A160" s="23" t="s">
        <v>2042</v>
      </c>
      <c r="B160" s="24" t="s">
        <v>46</v>
      </c>
      <c r="C160" s="24" t="s">
        <v>1077</v>
      </c>
      <c r="D160" s="24" t="s">
        <v>133</v>
      </c>
      <c r="E160" s="25" t="s">
        <v>103</v>
      </c>
      <c r="F160" s="34" t="s">
        <v>116</v>
      </c>
      <c r="G160" s="24" t="s">
        <v>1078</v>
      </c>
      <c r="H160" s="24" t="s">
        <v>1079</v>
      </c>
      <c r="I160" s="24" t="s">
        <v>1080</v>
      </c>
      <c r="J160" s="24" t="s">
        <v>108</v>
      </c>
      <c r="K160" s="24" t="s">
        <v>1081</v>
      </c>
      <c r="L160" s="27" t="s">
        <v>1082</v>
      </c>
      <c r="M160" s="28" t="s">
        <v>14</v>
      </c>
      <c r="N160" s="27" t="s">
        <v>1884</v>
      </c>
      <c r="O160" s="27" t="s">
        <v>112</v>
      </c>
      <c r="P160" s="29" t="s">
        <v>113</v>
      </c>
      <c r="Q160" s="27" t="s">
        <v>121</v>
      </c>
    </row>
    <row r="161" spans="1:17" x14ac:dyDescent="0.25">
      <c r="A161" s="30" t="s">
        <v>2043</v>
      </c>
      <c r="B161" s="27" t="s">
        <v>46</v>
      </c>
      <c r="C161" s="27" t="s">
        <v>1084</v>
      </c>
      <c r="D161" s="27" t="s">
        <v>133</v>
      </c>
      <c r="E161" s="28" t="s">
        <v>103</v>
      </c>
      <c r="F161" s="31" t="s">
        <v>116</v>
      </c>
      <c r="G161" s="27" t="s">
        <v>1085</v>
      </c>
      <c r="H161" s="27" t="s">
        <v>108</v>
      </c>
      <c r="I161" s="27" t="s">
        <v>1086</v>
      </c>
      <c r="J161" s="27" t="s">
        <v>108</v>
      </c>
      <c r="K161" s="27" t="s">
        <v>1087</v>
      </c>
      <c r="L161" s="27" t="s">
        <v>1088</v>
      </c>
      <c r="M161" s="28" t="s">
        <v>14</v>
      </c>
      <c r="N161" s="27" t="s">
        <v>1884</v>
      </c>
      <c r="O161" s="27" t="s">
        <v>112</v>
      </c>
      <c r="P161" s="29" t="s">
        <v>113</v>
      </c>
      <c r="Q161" s="27" t="s">
        <v>121</v>
      </c>
    </row>
    <row r="162" spans="1:17" x14ac:dyDescent="0.25">
      <c r="A162" s="23" t="s">
        <v>2044</v>
      </c>
      <c r="B162" s="24" t="s">
        <v>46</v>
      </c>
      <c r="C162" s="24" t="s">
        <v>1090</v>
      </c>
      <c r="D162" s="24" t="s">
        <v>133</v>
      </c>
      <c r="E162" s="25" t="s">
        <v>103</v>
      </c>
      <c r="F162" s="26" t="s">
        <v>104</v>
      </c>
      <c r="G162" s="24" t="s">
        <v>1091</v>
      </c>
      <c r="H162" s="24" t="s">
        <v>1092</v>
      </c>
      <c r="I162" s="24" t="s">
        <v>1093</v>
      </c>
      <c r="J162" s="24" t="s">
        <v>108</v>
      </c>
      <c r="K162" s="24" t="s">
        <v>1094</v>
      </c>
      <c r="L162" s="27" t="s">
        <v>1095</v>
      </c>
      <c r="M162" s="28" t="s">
        <v>14</v>
      </c>
      <c r="N162" s="27" t="s">
        <v>1884</v>
      </c>
      <c r="O162" s="27" t="s">
        <v>112</v>
      </c>
      <c r="P162" s="29" t="s">
        <v>113</v>
      </c>
      <c r="Q162" s="27" t="s">
        <v>121</v>
      </c>
    </row>
    <row r="163" spans="1:17" x14ac:dyDescent="0.25">
      <c r="A163" s="30" t="s">
        <v>2045</v>
      </c>
      <c r="B163" s="27" t="s">
        <v>46</v>
      </c>
      <c r="C163" s="27" t="s">
        <v>866</v>
      </c>
      <c r="D163" s="27" t="s">
        <v>750</v>
      </c>
      <c r="E163" s="28" t="s">
        <v>103</v>
      </c>
      <c r="F163" s="36" t="s">
        <v>104</v>
      </c>
      <c r="G163" s="27" t="s">
        <v>1097</v>
      </c>
      <c r="H163" s="27" t="s">
        <v>1098</v>
      </c>
      <c r="I163" s="27" t="s">
        <v>1099</v>
      </c>
      <c r="J163" s="27" t="s">
        <v>108</v>
      </c>
      <c r="K163" s="27" t="s">
        <v>1100</v>
      </c>
      <c r="L163" s="27" t="s">
        <v>1101</v>
      </c>
      <c r="M163" s="28" t="s">
        <v>14</v>
      </c>
      <c r="N163" s="27" t="s">
        <v>1884</v>
      </c>
      <c r="O163" s="27" t="s">
        <v>112</v>
      </c>
      <c r="P163" s="29" t="s">
        <v>113</v>
      </c>
      <c r="Q163" s="27" t="s">
        <v>121</v>
      </c>
    </row>
    <row r="164" spans="1:17" x14ac:dyDescent="0.25">
      <c r="A164" s="23" t="s">
        <v>2046</v>
      </c>
      <c r="B164" s="24" t="s">
        <v>46</v>
      </c>
      <c r="C164" s="24" t="s">
        <v>866</v>
      </c>
      <c r="D164" s="24" t="s">
        <v>750</v>
      </c>
      <c r="E164" s="25" t="s">
        <v>167</v>
      </c>
      <c r="F164" s="34" t="s">
        <v>116</v>
      </c>
      <c r="G164" s="24" t="s">
        <v>1103</v>
      </c>
      <c r="H164" s="24" t="s">
        <v>108</v>
      </c>
      <c r="I164" s="24" t="s">
        <v>1104</v>
      </c>
      <c r="J164" s="24" t="s">
        <v>108</v>
      </c>
      <c r="K164" s="24" t="s">
        <v>1105</v>
      </c>
      <c r="L164" s="27" t="s">
        <v>1106</v>
      </c>
      <c r="M164" s="28" t="s">
        <v>14</v>
      </c>
      <c r="N164" s="27" t="s">
        <v>1884</v>
      </c>
      <c r="O164" s="27" t="s">
        <v>112</v>
      </c>
      <c r="P164" s="29" t="s">
        <v>113</v>
      </c>
      <c r="Q164" s="27" t="s">
        <v>1107</v>
      </c>
    </row>
    <row r="165" spans="1:17" x14ac:dyDescent="0.25">
      <c r="A165" s="30" t="s">
        <v>2047</v>
      </c>
      <c r="B165" s="27" t="s">
        <v>46</v>
      </c>
      <c r="C165" s="27" t="s">
        <v>866</v>
      </c>
      <c r="D165" s="27" t="s">
        <v>750</v>
      </c>
      <c r="E165" s="28" t="s">
        <v>103</v>
      </c>
      <c r="F165" s="31" t="s">
        <v>116</v>
      </c>
      <c r="G165" s="27" t="s">
        <v>1109</v>
      </c>
      <c r="H165" s="27" t="s">
        <v>108</v>
      </c>
      <c r="I165" s="27" t="s">
        <v>1110</v>
      </c>
      <c r="J165" s="27" t="s">
        <v>108</v>
      </c>
      <c r="K165" s="27" t="s">
        <v>1111</v>
      </c>
      <c r="L165" s="27" t="s">
        <v>1112</v>
      </c>
      <c r="M165" s="28" t="s">
        <v>14</v>
      </c>
      <c r="N165" s="27" t="s">
        <v>1884</v>
      </c>
      <c r="O165" s="27" t="s">
        <v>112</v>
      </c>
      <c r="P165" s="29" t="s">
        <v>113</v>
      </c>
      <c r="Q165" s="27" t="s">
        <v>121</v>
      </c>
    </row>
    <row r="166" spans="1:17" x14ac:dyDescent="0.25">
      <c r="A166" s="23" t="s">
        <v>2048</v>
      </c>
      <c r="B166" s="24" t="s">
        <v>46</v>
      </c>
      <c r="C166" s="24" t="s">
        <v>866</v>
      </c>
      <c r="D166" s="24" t="s">
        <v>750</v>
      </c>
      <c r="E166" s="25" t="s">
        <v>103</v>
      </c>
      <c r="F166" s="34" t="s">
        <v>116</v>
      </c>
      <c r="G166" s="24" t="s">
        <v>1114</v>
      </c>
      <c r="H166" s="24" t="s">
        <v>108</v>
      </c>
      <c r="I166" s="24" t="s">
        <v>1115</v>
      </c>
      <c r="J166" s="24" t="s">
        <v>108</v>
      </c>
      <c r="K166" s="24" t="s">
        <v>1116</v>
      </c>
      <c r="L166" s="27" t="s">
        <v>1117</v>
      </c>
      <c r="M166" s="28" t="s">
        <v>14</v>
      </c>
      <c r="N166" s="27" t="s">
        <v>1884</v>
      </c>
      <c r="O166" s="27" t="s">
        <v>112</v>
      </c>
      <c r="P166" s="29" t="s">
        <v>113</v>
      </c>
      <c r="Q166" s="27" t="s">
        <v>121</v>
      </c>
    </row>
    <row r="167" spans="1:17" x14ac:dyDescent="0.25">
      <c r="A167" s="30" t="s">
        <v>2049</v>
      </c>
      <c r="B167" s="27" t="s">
        <v>46</v>
      </c>
      <c r="C167" s="27" t="s">
        <v>917</v>
      </c>
      <c r="D167" s="27" t="s">
        <v>1119</v>
      </c>
      <c r="E167" s="28" t="s">
        <v>103</v>
      </c>
      <c r="F167" s="35" t="s">
        <v>194</v>
      </c>
      <c r="G167" s="27" t="s">
        <v>1120</v>
      </c>
      <c r="H167" s="27" t="s">
        <v>1121</v>
      </c>
      <c r="I167" s="27" t="s">
        <v>1122</v>
      </c>
      <c r="J167" s="27" t="s">
        <v>108</v>
      </c>
      <c r="K167" s="27" t="s">
        <v>1123</v>
      </c>
      <c r="L167" s="27" t="s">
        <v>1124</v>
      </c>
      <c r="M167" s="28" t="s">
        <v>14</v>
      </c>
      <c r="N167" s="27" t="s">
        <v>1884</v>
      </c>
      <c r="O167" s="27" t="s">
        <v>112</v>
      </c>
      <c r="P167" s="29" t="s">
        <v>113</v>
      </c>
      <c r="Q167" s="27" t="s">
        <v>121</v>
      </c>
    </row>
    <row r="168" spans="1:17" x14ac:dyDescent="0.25">
      <c r="A168" s="23" t="s">
        <v>2050</v>
      </c>
      <c r="B168" s="24" t="s">
        <v>46</v>
      </c>
      <c r="C168" s="24" t="s">
        <v>917</v>
      </c>
      <c r="D168" s="24" t="s">
        <v>1126</v>
      </c>
      <c r="E168" s="25" t="s">
        <v>288</v>
      </c>
      <c r="F168" s="26" t="s">
        <v>104</v>
      </c>
      <c r="G168" s="24" t="s">
        <v>1127</v>
      </c>
      <c r="H168" s="24" t="s">
        <v>1128</v>
      </c>
      <c r="I168" s="24" t="s">
        <v>1129</v>
      </c>
      <c r="J168" s="24" t="s">
        <v>108</v>
      </c>
      <c r="K168" s="24" t="s">
        <v>1130</v>
      </c>
      <c r="L168" s="27" t="s">
        <v>1131</v>
      </c>
      <c r="M168" s="28" t="s">
        <v>14</v>
      </c>
      <c r="N168" s="27" t="s">
        <v>1884</v>
      </c>
      <c r="O168" s="27" t="s">
        <v>112</v>
      </c>
      <c r="P168" s="29" t="s">
        <v>113</v>
      </c>
      <c r="Q168" s="27" t="s">
        <v>1132</v>
      </c>
    </row>
    <row r="169" spans="1:17" x14ac:dyDescent="0.25">
      <c r="A169" s="30" t="s">
        <v>2051</v>
      </c>
      <c r="B169" s="27" t="s">
        <v>46</v>
      </c>
      <c r="C169" s="27" t="s">
        <v>917</v>
      </c>
      <c r="D169" s="27" t="s">
        <v>750</v>
      </c>
      <c r="E169" s="28" t="s">
        <v>103</v>
      </c>
      <c r="F169" s="33" t="s">
        <v>134</v>
      </c>
      <c r="G169" s="27" t="s">
        <v>1134</v>
      </c>
      <c r="H169" s="27" t="s">
        <v>108</v>
      </c>
      <c r="I169" s="27" t="s">
        <v>925</v>
      </c>
      <c r="J169" s="27" t="s">
        <v>108</v>
      </c>
      <c r="K169" s="27" t="s">
        <v>1135</v>
      </c>
      <c r="L169" s="27" t="s">
        <v>1136</v>
      </c>
      <c r="M169" s="28" t="s">
        <v>14</v>
      </c>
      <c r="N169" s="27" t="s">
        <v>1884</v>
      </c>
      <c r="O169" s="27" t="s">
        <v>112</v>
      </c>
      <c r="P169" s="29" t="s">
        <v>113</v>
      </c>
      <c r="Q169" s="27" t="s">
        <v>121</v>
      </c>
    </row>
    <row r="170" spans="1:17" x14ac:dyDescent="0.25">
      <c r="A170" s="23" t="s">
        <v>2052</v>
      </c>
      <c r="B170" s="24" t="s">
        <v>46</v>
      </c>
      <c r="C170" s="24" t="s">
        <v>917</v>
      </c>
      <c r="D170" s="24" t="s">
        <v>133</v>
      </c>
      <c r="E170" s="25" t="s">
        <v>103</v>
      </c>
      <c r="F170" s="32" t="s">
        <v>134</v>
      </c>
      <c r="G170" s="24" t="s">
        <v>1138</v>
      </c>
      <c r="H170" s="24" t="s">
        <v>1139</v>
      </c>
      <c r="I170" s="24" t="s">
        <v>1140</v>
      </c>
      <c r="J170" s="24" t="s">
        <v>108</v>
      </c>
      <c r="K170" s="24" t="s">
        <v>1141</v>
      </c>
      <c r="L170" s="27" t="s">
        <v>1142</v>
      </c>
      <c r="M170" s="28" t="s">
        <v>14</v>
      </c>
      <c r="N170" s="27" t="s">
        <v>1884</v>
      </c>
      <c r="O170" s="27" t="s">
        <v>112</v>
      </c>
      <c r="P170" s="29" t="s">
        <v>113</v>
      </c>
      <c r="Q170" s="27" t="s">
        <v>121</v>
      </c>
    </row>
    <row r="171" spans="1:17" x14ac:dyDescent="0.25">
      <c r="A171" s="30" t="s">
        <v>2053</v>
      </c>
      <c r="B171" s="27" t="s">
        <v>46</v>
      </c>
      <c r="C171" s="27" t="s">
        <v>1144</v>
      </c>
      <c r="D171" s="27" t="s">
        <v>1145</v>
      </c>
      <c r="E171" s="28" t="s">
        <v>103</v>
      </c>
      <c r="F171" s="35" t="s">
        <v>194</v>
      </c>
      <c r="G171" s="27" t="s">
        <v>1146</v>
      </c>
      <c r="H171" s="27" t="s">
        <v>1147</v>
      </c>
      <c r="I171" s="27" t="s">
        <v>1148</v>
      </c>
      <c r="J171" s="27" t="s">
        <v>1149</v>
      </c>
      <c r="K171" s="27" t="s">
        <v>1150</v>
      </c>
      <c r="L171" s="27" t="s">
        <v>1151</v>
      </c>
      <c r="M171" s="28" t="s">
        <v>14</v>
      </c>
      <c r="N171" s="27" t="s">
        <v>1884</v>
      </c>
      <c r="O171" s="27" t="s">
        <v>112</v>
      </c>
      <c r="P171" s="29" t="s">
        <v>113</v>
      </c>
      <c r="Q171" s="27" t="s">
        <v>121</v>
      </c>
    </row>
    <row r="172" spans="1:17" x14ac:dyDescent="0.25">
      <c r="A172" s="23" t="s">
        <v>2054</v>
      </c>
      <c r="B172" s="24" t="s">
        <v>46</v>
      </c>
      <c r="C172" s="24" t="s">
        <v>1144</v>
      </c>
      <c r="D172" s="24" t="s">
        <v>1145</v>
      </c>
      <c r="E172" s="25" t="s">
        <v>167</v>
      </c>
      <c r="F172" s="26" t="s">
        <v>104</v>
      </c>
      <c r="G172" s="24" t="s">
        <v>1153</v>
      </c>
      <c r="H172" s="24" t="s">
        <v>108</v>
      </c>
      <c r="I172" s="24" t="s">
        <v>1154</v>
      </c>
      <c r="J172" s="24" t="s">
        <v>108</v>
      </c>
      <c r="K172" s="24" t="s">
        <v>1155</v>
      </c>
      <c r="L172" s="27" t="s">
        <v>1156</v>
      </c>
      <c r="M172" s="28" t="s">
        <v>14</v>
      </c>
      <c r="N172" s="27" t="s">
        <v>1884</v>
      </c>
      <c r="O172" s="27" t="s">
        <v>112</v>
      </c>
      <c r="P172" s="29" t="s">
        <v>113</v>
      </c>
      <c r="Q172" s="27" t="s">
        <v>121</v>
      </c>
    </row>
    <row r="173" spans="1:17" x14ac:dyDescent="0.25">
      <c r="A173" s="30" t="s">
        <v>2055</v>
      </c>
      <c r="B173" s="27" t="s">
        <v>46</v>
      </c>
      <c r="C173" s="27" t="s">
        <v>1144</v>
      </c>
      <c r="D173" s="27" t="s">
        <v>1145</v>
      </c>
      <c r="E173" s="28" t="s">
        <v>103</v>
      </c>
      <c r="F173" s="31" t="s">
        <v>116</v>
      </c>
      <c r="G173" s="27" t="s">
        <v>1158</v>
      </c>
      <c r="H173" s="27" t="s">
        <v>108</v>
      </c>
      <c r="I173" s="27" t="s">
        <v>1159</v>
      </c>
      <c r="J173" s="27" t="s">
        <v>1160</v>
      </c>
      <c r="K173" s="27" t="s">
        <v>1161</v>
      </c>
      <c r="L173" s="27" t="s">
        <v>1162</v>
      </c>
      <c r="M173" s="28" t="s">
        <v>14</v>
      </c>
      <c r="N173" s="27" t="s">
        <v>1884</v>
      </c>
      <c r="O173" s="27" t="s">
        <v>112</v>
      </c>
      <c r="P173" s="29" t="s">
        <v>113</v>
      </c>
      <c r="Q173" s="27" t="s">
        <v>121</v>
      </c>
    </row>
    <row r="174" spans="1:17" x14ac:dyDescent="0.25">
      <c r="A174" s="23" t="s">
        <v>2056</v>
      </c>
      <c r="B174" s="24" t="s">
        <v>46</v>
      </c>
      <c r="C174" s="24" t="s">
        <v>1144</v>
      </c>
      <c r="D174" s="24" t="s">
        <v>1145</v>
      </c>
      <c r="E174" s="25" t="s">
        <v>103</v>
      </c>
      <c r="F174" s="34" t="s">
        <v>116</v>
      </c>
      <c r="G174" s="24" t="s">
        <v>1164</v>
      </c>
      <c r="H174" s="24" t="s">
        <v>108</v>
      </c>
      <c r="I174" s="24" t="s">
        <v>1165</v>
      </c>
      <c r="J174" s="24" t="s">
        <v>108</v>
      </c>
      <c r="K174" s="24" t="s">
        <v>1166</v>
      </c>
      <c r="L174" s="27" t="s">
        <v>1167</v>
      </c>
      <c r="M174" s="28" t="s">
        <v>14</v>
      </c>
      <c r="N174" s="27" t="s">
        <v>1884</v>
      </c>
      <c r="O174" s="27" t="s">
        <v>112</v>
      </c>
      <c r="P174" s="29" t="s">
        <v>113</v>
      </c>
      <c r="Q174" s="27" t="s">
        <v>121</v>
      </c>
    </row>
    <row r="175" spans="1:17" x14ac:dyDescent="0.25">
      <c r="A175" s="30" t="s">
        <v>2057</v>
      </c>
      <c r="B175" s="27" t="s">
        <v>46</v>
      </c>
      <c r="C175" s="27" t="s">
        <v>1144</v>
      </c>
      <c r="D175" s="27" t="s">
        <v>1145</v>
      </c>
      <c r="E175" s="28" t="s">
        <v>103</v>
      </c>
      <c r="F175" s="33" t="s">
        <v>134</v>
      </c>
      <c r="G175" s="27" t="s">
        <v>1169</v>
      </c>
      <c r="H175" s="27" t="s">
        <v>108</v>
      </c>
      <c r="I175" s="27" t="s">
        <v>1170</v>
      </c>
      <c r="J175" s="27" t="s">
        <v>108</v>
      </c>
      <c r="K175" s="27" t="s">
        <v>1171</v>
      </c>
      <c r="L175" s="27" t="s">
        <v>1172</v>
      </c>
      <c r="M175" s="28" t="s">
        <v>14</v>
      </c>
      <c r="N175" s="27" t="s">
        <v>1884</v>
      </c>
      <c r="O175" s="27" t="s">
        <v>112</v>
      </c>
      <c r="P175" s="29" t="s">
        <v>113</v>
      </c>
      <c r="Q175" s="27" t="s">
        <v>121</v>
      </c>
    </row>
    <row r="176" spans="1:17" x14ac:dyDescent="0.25">
      <c r="A176" s="23" t="s">
        <v>2058</v>
      </c>
      <c r="B176" s="24" t="s">
        <v>46</v>
      </c>
      <c r="C176" s="24" t="s">
        <v>1144</v>
      </c>
      <c r="D176" s="24" t="s">
        <v>234</v>
      </c>
      <c r="E176" s="25" t="s">
        <v>288</v>
      </c>
      <c r="F176" s="26" t="s">
        <v>104</v>
      </c>
      <c r="G176" s="24" t="s">
        <v>1174</v>
      </c>
      <c r="H176" s="24" t="s">
        <v>1035</v>
      </c>
      <c r="I176" s="24" t="s">
        <v>1175</v>
      </c>
      <c r="J176" s="24" t="s">
        <v>108</v>
      </c>
      <c r="K176" s="24" t="s">
        <v>1176</v>
      </c>
      <c r="L176" s="27" t="s">
        <v>1177</v>
      </c>
      <c r="M176" s="28" t="s">
        <v>14</v>
      </c>
      <c r="N176" s="27" t="s">
        <v>1884</v>
      </c>
      <c r="O176" s="27" t="s">
        <v>112</v>
      </c>
      <c r="P176" s="29" t="s">
        <v>113</v>
      </c>
      <c r="Q176" s="27" t="s">
        <v>121</v>
      </c>
    </row>
    <row r="177" spans="1:17" x14ac:dyDescent="0.25">
      <c r="A177" s="30" t="s">
        <v>2059</v>
      </c>
      <c r="B177" s="27" t="s">
        <v>46</v>
      </c>
      <c r="C177" s="27" t="s">
        <v>1179</v>
      </c>
      <c r="D177" s="27" t="s">
        <v>750</v>
      </c>
      <c r="E177" s="28" t="s">
        <v>103</v>
      </c>
      <c r="F177" s="36" t="s">
        <v>104</v>
      </c>
      <c r="G177" s="27" t="s">
        <v>1180</v>
      </c>
      <c r="H177" s="27" t="s">
        <v>1181</v>
      </c>
      <c r="I177" s="27" t="s">
        <v>1182</v>
      </c>
      <c r="J177" s="27" t="s">
        <v>108</v>
      </c>
      <c r="K177" s="27" t="s">
        <v>1183</v>
      </c>
      <c r="L177" s="27" t="s">
        <v>1184</v>
      </c>
      <c r="M177" s="28" t="s">
        <v>14</v>
      </c>
      <c r="N177" s="27" t="s">
        <v>1884</v>
      </c>
      <c r="O177" s="27" t="s">
        <v>112</v>
      </c>
      <c r="P177" s="29" t="s">
        <v>113</v>
      </c>
      <c r="Q177" s="27" t="s">
        <v>121</v>
      </c>
    </row>
    <row r="178" spans="1:17" x14ac:dyDescent="0.25">
      <c r="A178" s="23" t="s">
        <v>2060</v>
      </c>
      <c r="B178" s="24" t="s">
        <v>46</v>
      </c>
      <c r="C178" s="24" t="s">
        <v>1179</v>
      </c>
      <c r="D178" s="24" t="s">
        <v>750</v>
      </c>
      <c r="E178" s="25" t="s">
        <v>103</v>
      </c>
      <c r="F178" s="26" t="s">
        <v>104</v>
      </c>
      <c r="G178" s="24" t="s">
        <v>1186</v>
      </c>
      <c r="H178" s="24" t="s">
        <v>1187</v>
      </c>
      <c r="I178" s="24" t="s">
        <v>1188</v>
      </c>
      <c r="J178" s="24" t="s">
        <v>108</v>
      </c>
      <c r="K178" s="24" t="s">
        <v>1189</v>
      </c>
      <c r="L178" s="27" t="s">
        <v>1190</v>
      </c>
      <c r="M178" s="28" t="s">
        <v>14</v>
      </c>
      <c r="N178" s="27" t="s">
        <v>1884</v>
      </c>
      <c r="O178" s="27" t="s">
        <v>112</v>
      </c>
      <c r="P178" s="29" t="s">
        <v>113</v>
      </c>
      <c r="Q178" s="27" t="s">
        <v>121</v>
      </c>
    </row>
    <row r="179" spans="1:17" x14ac:dyDescent="0.25">
      <c r="A179" s="30" t="s">
        <v>2061</v>
      </c>
      <c r="B179" s="27" t="s">
        <v>46</v>
      </c>
      <c r="C179" s="27" t="s">
        <v>1192</v>
      </c>
      <c r="D179" s="27" t="s">
        <v>133</v>
      </c>
      <c r="E179" s="28" t="s">
        <v>103</v>
      </c>
      <c r="F179" s="36" t="s">
        <v>104</v>
      </c>
      <c r="G179" s="27" t="s">
        <v>1193</v>
      </c>
      <c r="H179" s="27" t="s">
        <v>1194</v>
      </c>
      <c r="I179" s="27" t="s">
        <v>1195</v>
      </c>
      <c r="J179" s="27" t="s">
        <v>108</v>
      </c>
      <c r="K179" s="27" t="s">
        <v>1196</v>
      </c>
      <c r="L179" s="27" t="s">
        <v>1197</v>
      </c>
      <c r="M179" s="28" t="s">
        <v>14</v>
      </c>
      <c r="N179" s="27" t="s">
        <v>1884</v>
      </c>
      <c r="O179" s="27" t="s">
        <v>112</v>
      </c>
      <c r="P179" s="29" t="s">
        <v>113</v>
      </c>
      <c r="Q179" s="27" t="s">
        <v>121</v>
      </c>
    </row>
    <row r="180" spans="1:17" x14ac:dyDescent="0.25">
      <c r="A180" s="23" t="s">
        <v>2062</v>
      </c>
      <c r="B180" s="24" t="s">
        <v>46</v>
      </c>
      <c r="C180" s="24" t="s">
        <v>1199</v>
      </c>
      <c r="D180" s="24" t="s">
        <v>133</v>
      </c>
      <c r="E180" s="25" t="s">
        <v>103</v>
      </c>
      <c r="F180" s="34" t="s">
        <v>116</v>
      </c>
      <c r="G180" s="24" t="s">
        <v>1200</v>
      </c>
      <c r="H180" s="24" t="s">
        <v>1201</v>
      </c>
      <c r="I180" s="24" t="s">
        <v>1202</v>
      </c>
      <c r="J180" s="24" t="s">
        <v>108</v>
      </c>
      <c r="K180" s="24" t="s">
        <v>1203</v>
      </c>
      <c r="L180" s="27" t="s">
        <v>1204</v>
      </c>
      <c r="M180" s="28" t="s">
        <v>14</v>
      </c>
      <c r="N180" s="27" t="s">
        <v>1884</v>
      </c>
      <c r="O180" s="27" t="s">
        <v>112</v>
      </c>
      <c r="P180" s="29" t="s">
        <v>113</v>
      </c>
      <c r="Q180" s="27" t="s">
        <v>121</v>
      </c>
    </row>
    <row r="181" spans="1:17" x14ac:dyDescent="0.25">
      <c r="A181" s="30" t="s">
        <v>2063</v>
      </c>
      <c r="B181" s="27" t="s">
        <v>46</v>
      </c>
      <c r="C181" s="27" t="s">
        <v>1199</v>
      </c>
      <c r="D181" s="27" t="s">
        <v>133</v>
      </c>
      <c r="E181" s="28" t="s">
        <v>103</v>
      </c>
      <c r="F181" s="31" t="s">
        <v>116</v>
      </c>
      <c r="G181" s="27" t="s">
        <v>1206</v>
      </c>
      <c r="H181" s="27" t="s">
        <v>108</v>
      </c>
      <c r="I181" s="27" t="s">
        <v>1207</v>
      </c>
      <c r="J181" s="27" t="s">
        <v>108</v>
      </c>
      <c r="K181" s="27" t="s">
        <v>1208</v>
      </c>
      <c r="L181" s="27" t="s">
        <v>1209</v>
      </c>
      <c r="M181" s="28" t="s">
        <v>14</v>
      </c>
      <c r="N181" s="27" t="s">
        <v>1884</v>
      </c>
      <c r="O181" s="27" t="s">
        <v>112</v>
      </c>
      <c r="P181" s="29" t="s">
        <v>113</v>
      </c>
      <c r="Q181" s="27" t="s">
        <v>121</v>
      </c>
    </row>
    <row r="182" spans="1:17" x14ac:dyDescent="0.25">
      <c r="A182" s="23" t="s">
        <v>2064</v>
      </c>
      <c r="B182" s="24" t="s">
        <v>46</v>
      </c>
      <c r="C182" s="24" t="s">
        <v>757</v>
      </c>
      <c r="D182" s="24" t="s">
        <v>133</v>
      </c>
      <c r="E182" s="25" t="s">
        <v>103</v>
      </c>
      <c r="F182" s="34" t="s">
        <v>116</v>
      </c>
      <c r="G182" s="24" t="s">
        <v>1211</v>
      </c>
      <c r="H182" s="24" t="s">
        <v>759</v>
      </c>
      <c r="I182" s="24" t="s">
        <v>1212</v>
      </c>
      <c r="J182" s="24" t="s">
        <v>108</v>
      </c>
      <c r="K182" s="24" t="s">
        <v>1213</v>
      </c>
      <c r="L182" s="27" t="s">
        <v>1214</v>
      </c>
      <c r="M182" s="28" t="s">
        <v>14</v>
      </c>
      <c r="N182" s="27" t="s">
        <v>1884</v>
      </c>
      <c r="O182" s="27" t="s">
        <v>112</v>
      </c>
      <c r="P182" s="29" t="s">
        <v>113</v>
      </c>
      <c r="Q182" s="27" t="s">
        <v>121</v>
      </c>
    </row>
    <row r="183" spans="1:17" x14ac:dyDescent="0.25">
      <c r="A183" s="30" t="s">
        <v>2065</v>
      </c>
      <c r="B183" s="27" t="s">
        <v>47</v>
      </c>
      <c r="C183" s="27" t="s">
        <v>1084</v>
      </c>
      <c r="D183" s="27" t="s">
        <v>133</v>
      </c>
      <c r="E183" s="28" t="s">
        <v>103</v>
      </c>
      <c r="F183" s="36" t="s">
        <v>104</v>
      </c>
      <c r="G183" s="27" t="s">
        <v>1216</v>
      </c>
      <c r="H183" s="27" t="s">
        <v>1217</v>
      </c>
      <c r="I183" s="27" t="s">
        <v>1218</v>
      </c>
      <c r="J183" s="27" t="s">
        <v>108</v>
      </c>
      <c r="K183" s="27" t="s">
        <v>1219</v>
      </c>
      <c r="L183" s="27" t="s">
        <v>1220</v>
      </c>
      <c r="M183" s="28" t="s">
        <v>14</v>
      </c>
      <c r="N183" s="27" t="s">
        <v>1884</v>
      </c>
      <c r="O183" s="27" t="s">
        <v>112</v>
      </c>
      <c r="P183" s="29" t="s">
        <v>113</v>
      </c>
      <c r="Q183" s="27" t="s">
        <v>121</v>
      </c>
    </row>
    <row r="184" spans="1:17" x14ac:dyDescent="0.25">
      <c r="A184" s="23" t="s">
        <v>2066</v>
      </c>
      <c r="B184" s="24" t="s">
        <v>47</v>
      </c>
      <c r="C184" s="24" t="s">
        <v>95</v>
      </c>
      <c r="D184" s="24" t="s">
        <v>1222</v>
      </c>
      <c r="E184" s="25" t="s">
        <v>103</v>
      </c>
      <c r="F184" s="37" t="s">
        <v>194</v>
      </c>
      <c r="G184" s="24" t="s">
        <v>1223</v>
      </c>
      <c r="H184" s="24" t="s">
        <v>1224</v>
      </c>
      <c r="I184" s="24" t="s">
        <v>1225</v>
      </c>
      <c r="J184" s="24" t="s">
        <v>108</v>
      </c>
      <c r="K184" s="24" t="s">
        <v>1226</v>
      </c>
      <c r="L184" s="27" t="s">
        <v>1227</v>
      </c>
      <c r="M184" s="28" t="s">
        <v>14</v>
      </c>
      <c r="N184" s="27" t="s">
        <v>1884</v>
      </c>
      <c r="O184" s="27" t="s">
        <v>112</v>
      </c>
      <c r="P184" s="29" t="s">
        <v>113</v>
      </c>
      <c r="Q184" s="27" t="s">
        <v>121</v>
      </c>
    </row>
    <row r="185" spans="1:17" x14ac:dyDescent="0.25">
      <c r="A185" s="30" t="s">
        <v>2067</v>
      </c>
      <c r="B185" s="27" t="s">
        <v>47</v>
      </c>
      <c r="C185" s="27" t="s">
        <v>95</v>
      </c>
      <c r="D185" s="27" t="s">
        <v>234</v>
      </c>
      <c r="E185" s="28" t="s">
        <v>103</v>
      </c>
      <c r="F185" s="35" t="s">
        <v>194</v>
      </c>
      <c r="G185" s="27" t="s">
        <v>1229</v>
      </c>
      <c r="H185" s="27" t="s">
        <v>108</v>
      </c>
      <c r="I185" s="27" t="s">
        <v>1230</v>
      </c>
      <c r="J185" s="27" t="s">
        <v>108</v>
      </c>
      <c r="K185" s="27" t="s">
        <v>1231</v>
      </c>
      <c r="L185" s="27" t="s">
        <v>1232</v>
      </c>
      <c r="M185" s="28" t="s">
        <v>14</v>
      </c>
      <c r="N185" s="27" t="s">
        <v>1884</v>
      </c>
      <c r="O185" s="27" t="s">
        <v>112</v>
      </c>
      <c r="P185" s="29" t="s">
        <v>113</v>
      </c>
      <c r="Q185" s="27" t="s">
        <v>121</v>
      </c>
    </row>
    <row r="186" spans="1:17" x14ac:dyDescent="0.25">
      <c r="A186" s="23" t="s">
        <v>2068</v>
      </c>
      <c r="B186" s="24" t="s">
        <v>47</v>
      </c>
      <c r="C186" s="24" t="s">
        <v>95</v>
      </c>
      <c r="D186" s="24" t="s">
        <v>234</v>
      </c>
      <c r="E186" s="25" t="s">
        <v>167</v>
      </c>
      <c r="F186" s="37" t="s">
        <v>194</v>
      </c>
      <c r="G186" s="24" t="s">
        <v>1234</v>
      </c>
      <c r="H186" s="24" t="s">
        <v>1235</v>
      </c>
      <c r="I186" s="24" t="s">
        <v>1236</v>
      </c>
      <c r="J186" s="24" t="s">
        <v>108</v>
      </c>
      <c r="K186" s="24" t="s">
        <v>1237</v>
      </c>
      <c r="L186" s="27" t="s">
        <v>1238</v>
      </c>
      <c r="M186" s="28" t="s">
        <v>14</v>
      </c>
      <c r="N186" s="27" t="s">
        <v>1884</v>
      </c>
      <c r="O186" s="27" t="s">
        <v>112</v>
      </c>
      <c r="P186" s="29" t="s">
        <v>113</v>
      </c>
      <c r="Q186" s="27" t="s">
        <v>1239</v>
      </c>
    </row>
    <row r="187" spans="1:17" x14ac:dyDescent="0.25">
      <c r="A187" s="30" t="s">
        <v>2069</v>
      </c>
      <c r="B187" s="27" t="s">
        <v>47</v>
      </c>
      <c r="C187" s="27" t="s">
        <v>95</v>
      </c>
      <c r="D187" s="27" t="s">
        <v>729</v>
      </c>
      <c r="E187" s="28" t="s">
        <v>167</v>
      </c>
      <c r="F187" s="36" t="s">
        <v>104</v>
      </c>
      <c r="G187" s="27" t="s">
        <v>1241</v>
      </c>
      <c r="H187" s="27" t="s">
        <v>1242</v>
      </c>
      <c r="I187" s="27" t="s">
        <v>1243</v>
      </c>
      <c r="J187" s="27" t="s">
        <v>108</v>
      </c>
      <c r="K187" s="27" t="s">
        <v>1244</v>
      </c>
      <c r="L187" s="27" t="s">
        <v>1245</v>
      </c>
      <c r="M187" s="28" t="s">
        <v>14</v>
      </c>
      <c r="N187" s="27" t="s">
        <v>1884</v>
      </c>
      <c r="O187" s="27" t="s">
        <v>112</v>
      </c>
      <c r="P187" s="29" t="s">
        <v>113</v>
      </c>
      <c r="Q187" s="27" t="s">
        <v>121</v>
      </c>
    </row>
    <row r="188" spans="1:17" x14ac:dyDescent="0.25">
      <c r="A188" s="23" t="s">
        <v>2070</v>
      </c>
      <c r="B188" s="24" t="s">
        <v>47</v>
      </c>
      <c r="C188" s="24" t="s">
        <v>95</v>
      </c>
      <c r="D188" s="24" t="s">
        <v>234</v>
      </c>
      <c r="E188" s="25" t="s">
        <v>288</v>
      </c>
      <c r="F188" s="26" t="s">
        <v>104</v>
      </c>
      <c r="G188" s="24" t="s">
        <v>1247</v>
      </c>
      <c r="H188" s="24" t="s">
        <v>1248</v>
      </c>
      <c r="I188" s="24" t="s">
        <v>1249</v>
      </c>
      <c r="J188" s="24" t="s">
        <v>108</v>
      </c>
      <c r="K188" s="24" t="s">
        <v>1250</v>
      </c>
      <c r="L188" s="27" t="s">
        <v>1251</v>
      </c>
      <c r="M188" s="28" t="s">
        <v>14</v>
      </c>
      <c r="N188" s="27" t="s">
        <v>1884</v>
      </c>
      <c r="O188" s="27" t="s">
        <v>112</v>
      </c>
      <c r="P188" s="29" t="s">
        <v>113</v>
      </c>
      <c r="Q188" s="27" t="s">
        <v>1252</v>
      </c>
    </row>
    <row r="189" spans="1:17" x14ac:dyDescent="0.25">
      <c r="A189" s="30" t="s">
        <v>2071</v>
      </c>
      <c r="B189" s="27" t="s">
        <v>47</v>
      </c>
      <c r="C189" s="27" t="s">
        <v>866</v>
      </c>
      <c r="D189" s="27" t="s">
        <v>729</v>
      </c>
      <c r="E189" s="28" t="s">
        <v>103</v>
      </c>
      <c r="F189" s="36" t="s">
        <v>104</v>
      </c>
      <c r="G189" s="27" t="s">
        <v>1254</v>
      </c>
      <c r="H189" s="27" t="s">
        <v>1255</v>
      </c>
      <c r="I189" s="27" t="s">
        <v>1256</v>
      </c>
      <c r="J189" s="27" t="s">
        <v>108</v>
      </c>
      <c r="K189" s="27" t="s">
        <v>1257</v>
      </c>
      <c r="L189" s="27" t="s">
        <v>1258</v>
      </c>
      <c r="M189" s="28" t="s">
        <v>14</v>
      </c>
      <c r="N189" s="27" t="s">
        <v>1884</v>
      </c>
      <c r="O189" s="27" t="s">
        <v>112</v>
      </c>
      <c r="P189" s="29" t="s">
        <v>113</v>
      </c>
      <c r="Q189" s="27" t="s">
        <v>121</v>
      </c>
    </row>
    <row r="190" spans="1:17" x14ac:dyDescent="0.25">
      <c r="A190" s="23" t="s">
        <v>2072</v>
      </c>
      <c r="B190" s="24" t="s">
        <v>47</v>
      </c>
      <c r="C190" s="24" t="s">
        <v>866</v>
      </c>
      <c r="D190" s="24" t="s">
        <v>234</v>
      </c>
      <c r="E190" s="25" t="s">
        <v>288</v>
      </c>
      <c r="F190" s="26" t="s">
        <v>104</v>
      </c>
      <c r="G190" s="24" t="s">
        <v>1260</v>
      </c>
      <c r="H190" s="24" t="s">
        <v>1035</v>
      </c>
      <c r="I190" s="24" t="s">
        <v>1261</v>
      </c>
      <c r="J190" s="24" t="s">
        <v>108</v>
      </c>
      <c r="K190" s="24" t="s">
        <v>1262</v>
      </c>
      <c r="L190" s="27" t="s">
        <v>1263</v>
      </c>
      <c r="M190" s="28" t="s">
        <v>14</v>
      </c>
      <c r="N190" s="27" t="s">
        <v>1884</v>
      </c>
      <c r="O190" s="27" t="s">
        <v>112</v>
      </c>
      <c r="P190" s="29" t="s">
        <v>113</v>
      </c>
      <c r="Q190" s="27" t="s">
        <v>121</v>
      </c>
    </row>
    <row r="191" spans="1:17" x14ac:dyDescent="0.25">
      <c r="A191" s="30" t="s">
        <v>2073</v>
      </c>
      <c r="B191" s="27" t="s">
        <v>47</v>
      </c>
      <c r="C191" s="27" t="s">
        <v>917</v>
      </c>
      <c r="D191" s="27" t="s">
        <v>1145</v>
      </c>
      <c r="E191" s="28" t="s">
        <v>103</v>
      </c>
      <c r="F191" s="36" t="s">
        <v>104</v>
      </c>
      <c r="G191" s="27" t="s">
        <v>1265</v>
      </c>
      <c r="H191" s="27" t="s">
        <v>108</v>
      </c>
      <c r="I191" s="27" t="s">
        <v>1266</v>
      </c>
      <c r="J191" s="27" t="s">
        <v>108</v>
      </c>
      <c r="K191" s="27" t="s">
        <v>1267</v>
      </c>
      <c r="L191" s="27" t="s">
        <v>1268</v>
      </c>
      <c r="M191" s="28" t="s">
        <v>14</v>
      </c>
      <c r="N191" s="27" t="s">
        <v>1884</v>
      </c>
      <c r="O191" s="27" t="s">
        <v>112</v>
      </c>
      <c r="P191" s="29" t="s">
        <v>113</v>
      </c>
      <c r="Q191" s="27" t="s">
        <v>121</v>
      </c>
    </row>
    <row r="192" spans="1:17" x14ac:dyDescent="0.25">
      <c r="A192" s="23" t="s">
        <v>2074</v>
      </c>
      <c r="B192" s="24" t="s">
        <v>47</v>
      </c>
      <c r="C192" s="24" t="s">
        <v>917</v>
      </c>
      <c r="D192" s="24" t="s">
        <v>234</v>
      </c>
      <c r="E192" s="25" t="s">
        <v>288</v>
      </c>
      <c r="F192" s="26" t="s">
        <v>104</v>
      </c>
      <c r="G192" s="24" t="s">
        <v>1270</v>
      </c>
      <c r="H192" s="24" t="s">
        <v>1035</v>
      </c>
      <c r="I192" s="24" t="s">
        <v>1271</v>
      </c>
      <c r="J192" s="24" t="s">
        <v>108</v>
      </c>
      <c r="K192" s="24" t="s">
        <v>1272</v>
      </c>
      <c r="L192" s="27" t="s">
        <v>1273</v>
      </c>
      <c r="M192" s="28" t="s">
        <v>14</v>
      </c>
      <c r="N192" s="27" t="s">
        <v>1884</v>
      </c>
      <c r="O192" s="27" t="s">
        <v>112</v>
      </c>
      <c r="P192" s="29" t="s">
        <v>113</v>
      </c>
      <c r="Q192" s="27" t="s">
        <v>121</v>
      </c>
    </row>
    <row r="193" spans="1:17" x14ac:dyDescent="0.25">
      <c r="A193" s="30" t="s">
        <v>2075</v>
      </c>
      <c r="B193" s="27" t="s">
        <v>47</v>
      </c>
      <c r="C193" s="27" t="s">
        <v>1275</v>
      </c>
      <c r="D193" s="27" t="s">
        <v>133</v>
      </c>
      <c r="E193" s="28" t="s">
        <v>103</v>
      </c>
      <c r="F193" s="36" t="s">
        <v>104</v>
      </c>
      <c r="G193" s="27" t="s">
        <v>1276</v>
      </c>
      <c r="H193" s="27" t="s">
        <v>1277</v>
      </c>
      <c r="I193" s="27" t="s">
        <v>1278</v>
      </c>
      <c r="J193" s="27" t="s">
        <v>1279</v>
      </c>
      <c r="K193" s="27" t="s">
        <v>1280</v>
      </c>
      <c r="L193" s="27" t="s">
        <v>1281</v>
      </c>
      <c r="M193" s="28" t="s">
        <v>14</v>
      </c>
      <c r="N193" s="27" t="s">
        <v>1884</v>
      </c>
      <c r="O193" s="27" t="s">
        <v>112</v>
      </c>
      <c r="P193" s="29" t="s">
        <v>113</v>
      </c>
      <c r="Q193" s="27" t="s">
        <v>1282</v>
      </c>
    </row>
    <row r="194" spans="1:17" x14ac:dyDescent="0.25">
      <c r="A194" s="23" t="s">
        <v>2076</v>
      </c>
      <c r="B194" s="24" t="s">
        <v>47</v>
      </c>
      <c r="C194" s="24" t="s">
        <v>1275</v>
      </c>
      <c r="D194" s="24" t="s">
        <v>133</v>
      </c>
      <c r="E194" s="25" t="s">
        <v>167</v>
      </c>
      <c r="F194" s="34" t="s">
        <v>116</v>
      </c>
      <c r="G194" s="24" t="s">
        <v>1284</v>
      </c>
      <c r="H194" s="24" t="s">
        <v>108</v>
      </c>
      <c r="I194" s="24" t="s">
        <v>1285</v>
      </c>
      <c r="J194" s="24" t="s">
        <v>1286</v>
      </c>
      <c r="K194" s="24" t="s">
        <v>1287</v>
      </c>
      <c r="L194" s="27" t="s">
        <v>1288</v>
      </c>
      <c r="M194" s="28" t="s">
        <v>14</v>
      </c>
      <c r="N194" s="27" t="s">
        <v>1884</v>
      </c>
      <c r="O194" s="27" t="s">
        <v>112</v>
      </c>
      <c r="P194" s="29" t="s">
        <v>113</v>
      </c>
      <c r="Q194" s="27" t="s">
        <v>121</v>
      </c>
    </row>
    <row r="195" spans="1:17" x14ac:dyDescent="0.25">
      <c r="A195" s="30" t="s">
        <v>2077</v>
      </c>
      <c r="B195" s="27" t="s">
        <v>47</v>
      </c>
      <c r="C195" s="27" t="s">
        <v>1275</v>
      </c>
      <c r="D195" s="27" t="s">
        <v>133</v>
      </c>
      <c r="E195" s="28" t="s">
        <v>103</v>
      </c>
      <c r="F195" s="31" t="s">
        <v>116</v>
      </c>
      <c r="G195" s="27" t="s">
        <v>1290</v>
      </c>
      <c r="H195" s="27" t="s">
        <v>108</v>
      </c>
      <c r="I195" s="27" t="s">
        <v>1291</v>
      </c>
      <c r="J195" s="27" t="s">
        <v>108</v>
      </c>
      <c r="K195" s="27" t="s">
        <v>1292</v>
      </c>
      <c r="L195" s="27" t="s">
        <v>1293</v>
      </c>
      <c r="M195" s="28" t="s">
        <v>14</v>
      </c>
      <c r="N195" s="27" t="s">
        <v>1884</v>
      </c>
      <c r="O195" s="27" t="s">
        <v>112</v>
      </c>
      <c r="P195" s="29" t="s">
        <v>113</v>
      </c>
      <c r="Q195" s="27" t="s">
        <v>121</v>
      </c>
    </row>
    <row r="196" spans="1:17" x14ac:dyDescent="0.25">
      <c r="A196" s="23" t="s">
        <v>2078</v>
      </c>
      <c r="B196" s="24" t="s">
        <v>47</v>
      </c>
      <c r="C196" s="24" t="s">
        <v>1275</v>
      </c>
      <c r="D196" s="24" t="s">
        <v>133</v>
      </c>
      <c r="E196" s="25" t="s">
        <v>103</v>
      </c>
      <c r="F196" s="26" t="s">
        <v>104</v>
      </c>
      <c r="G196" s="24" t="s">
        <v>1295</v>
      </c>
      <c r="H196" s="24" t="s">
        <v>1296</v>
      </c>
      <c r="I196" s="24" t="s">
        <v>1297</v>
      </c>
      <c r="J196" s="24" t="s">
        <v>108</v>
      </c>
      <c r="K196" s="24" t="s">
        <v>1298</v>
      </c>
      <c r="L196" s="27" t="s">
        <v>1299</v>
      </c>
      <c r="M196" s="28" t="s">
        <v>14</v>
      </c>
      <c r="N196" s="27" t="s">
        <v>1884</v>
      </c>
      <c r="O196" s="27" t="s">
        <v>112</v>
      </c>
      <c r="P196" s="29" t="s">
        <v>113</v>
      </c>
      <c r="Q196" s="27" t="s">
        <v>121</v>
      </c>
    </row>
    <row r="197" spans="1:17" x14ac:dyDescent="0.25">
      <c r="A197" s="30" t="s">
        <v>2079</v>
      </c>
      <c r="B197" s="27" t="s">
        <v>47</v>
      </c>
      <c r="C197" s="27" t="s">
        <v>1275</v>
      </c>
      <c r="D197" s="27" t="s">
        <v>133</v>
      </c>
      <c r="E197" s="28" t="s">
        <v>288</v>
      </c>
      <c r="F197" s="36" t="s">
        <v>104</v>
      </c>
      <c r="G197" s="27" t="s">
        <v>1301</v>
      </c>
      <c r="H197" s="27" t="s">
        <v>108</v>
      </c>
      <c r="I197" s="27" t="s">
        <v>1302</v>
      </c>
      <c r="J197" s="27" t="s">
        <v>108</v>
      </c>
      <c r="K197" s="27" t="s">
        <v>1303</v>
      </c>
      <c r="L197" s="27" t="s">
        <v>1304</v>
      </c>
      <c r="M197" s="28" t="s">
        <v>14</v>
      </c>
      <c r="N197" s="27" t="s">
        <v>1884</v>
      </c>
      <c r="O197" s="27" t="s">
        <v>112</v>
      </c>
      <c r="P197" s="29" t="s">
        <v>113</v>
      </c>
      <c r="Q197" s="27" t="s">
        <v>121</v>
      </c>
    </row>
    <row r="198" spans="1:17" x14ac:dyDescent="0.25">
      <c r="A198" s="23" t="s">
        <v>2080</v>
      </c>
      <c r="B198" s="24" t="s">
        <v>47</v>
      </c>
      <c r="C198" s="24" t="s">
        <v>1275</v>
      </c>
      <c r="D198" s="24" t="s">
        <v>133</v>
      </c>
      <c r="E198" s="25" t="s">
        <v>141</v>
      </c>
      <c r="F198" s="32" t="s">
        <v>134</v>
      </c>
      <c r="G198" s="24" t="s">
        <v>1306</v>
      </c>
      <c r="H198" s="24" t="s">
        <v>108</v>
      </c>
      <c r="I198" s="24" t="s">
        <v>1307</v>
      </c>
      <c r="J198" s="24" t="s">
        <v>108</v>
      </c>
      <c r="K198" s="24" t="s">
        <v>1308</v>
      </c>
      <c r="L198" s="27" t="s">
        <v>1309</v>
      </c>
      <c r="M198" s="28" t="s">
        <v>14</v>
      </c>
      <c r="N198" s="27" t="s">
        <v>1884</v>
      </c>
      <c r="O198" s="27" t="s">
        <v>112</v>
      </c>
      <c r="P198" s="29" t="s">
        <v>113</v>
      </c>
      <c r="Q198" s="27" t="s">
        <v>121</v>
      </c>
    </row>
    <row r="199" spans="1:17" x14ac:dyDescent="0.25">
      <c r="A199" s="30" t="s">
        <v>2081</v>
      </c>
      <c r="B199" s="27" t="s">
        <v>47</v>
      </c>
      <c r="C199" s="27" t="s">
        <v>1311</v>
      </c>
      <c r="D199" s="27" t="s">
        <v>133</v>
      </c>
      <c r="E199" s="28" t="s">
        <v>103</v>
      </c>
      <c r="F199" s="36" t="s">
        <v>104</v>
      </c>
      <c r="G199" s="27" t="s">
        <v>1312</v>
      </c>
      <c r="H199" s="27" t="s">
        <v>1277</v>
      </c>
      <c r="I199" s="27" t="s">
        <v>1313</v>
      </c>
      <c r="J199" s="27" t="s">
        <v>1314</v>
      </c>
      <c r="K199" s="27" t="s">
        <v>1315</v>
      </c>
      <c r="L199" s="27" t="s">
        <v>1316</v>
      </c>
      <c r="M199" s="28" t="s">
        <v>14</v>
      </c>
      <c r="N199" s="27" t="s">
        <v>1884</v>
      </c>
      <c r="O199" s="27" t="s">
        <v>112</v>
      </c>
      <c r="P199" s="29" t="s">
        <v>113</v>
      </c>
      <c r="Q199" s="27" t="s">
        <v>121</v>
      </c>
    </row>
    <row r="200" spans="1:17" x14ac:dyDescent="0.25">
      <c r="A200" s="23" t="s">
        <v>2082</v>
      </c>
      <c r="B200" s="24" t="s">
        <v>47</v>
      </c>
      <c r="C200" s="24" t="s">
        <v>1311</v>
      </c>
      <c r="D200" s="24" t="s">
        <v>133</v>
      </c>
      <c r="E200" s="25" t="s">
        <v>167</v>
      </c>
      <c r="F200" s="26" t="s">
        <v>104</v>
      </c>
      <c r="G200" s="24" t="s">
        <v>1318</v>
      </c>
      <c r="H200" s="24" t="s">
        <v>108</v>
      </c>
      <c r="I200" s="24" t="s">
        <v>1319</v>
      </c>
      <c r="J200" s="24" t="s">
        <v>1320</v>
      </c>
      <c r="K200" s="24" t="s">
        <v>1321</v>
      </c>
      <c r="L200" s="27" t="s">
        <v>1322</v>
      </c>
      <c r="M200" s="28" t="s">
        <v>14</v>
      </c>
      <c r="N200" s="27" t="s">
        <v>1884</v>
      </c>
      <c r="O200" s="27" t="s">
        <v>112</v>
      </c>
      <c r="P200" s="29" t="s">
        <v>113</v>
      </c>
      <c r="Q200" s="27" t="s">
        <v>121</v>
      </c>
    </row>
    <row r="201" spans="1:17" x14ac:dyDescent="0.25">
      <c r="A201" s="30" t="s">
        <v>2083</v>
      </c>
      <c r="B201" s="27" t="s">
        <v>47</v>
      </c>
      <c r="C201" s="27" t="s">
        <v>1311</v>
      </c>
      <c r="D201" s="27" t="s">
        <v>133</v>
      </c>
      <c r="E201" s="28" t="s">
        <v>103</v>
      </c>
      <c r="F201" s="31" t="s">
        <v>116</v>
      </c>
      <c r="G201" s="27" t="s">
        <v>1324</v>
      </c>
      <c r="H201" s="27" t="s">
        <v>1325</v>
      </c>
      <c r="I201" s="27" t="s">
        <v>1326</v>
      </c>
      <c r="J201" s="27" t="s">
        <v>108</v>
      </c>
      <c r="K201" s="27" t="s">
        <v>1327</v>
      </c>
      <c r="L201" s="27" t="s">
        <v>1328</v>
      </c>
      <c r="M201" s="28" t="s">
        <v>14</v>
      </c>
      <c r="N201" s="27" t="s">
        <v>1884</v>
      </c>
      <c r="O201" s="27" t="s">
        <v>112</v>
      </c>
      <c r="P201" s="29" t="s">
        <v>113</v>
      </c>
      <c r="Q201" s="27" t="s">
        <v>121</v>
      </c>
    </row>
    <row r="202" spans="1:17" x14ac:dyDescent="0.25">
      <c r="A202" s="23" t="s">
        <v>2084</v>
      </c>
      <c r="B202" s="24" t="s">
        <v>47</v>
      </c>
      <c r="C202" s="24" t="s">
        <v>1311</v>
      </c>
      <c r="D202" s="24" t="s">
        <v>133</v>
      </c>
      <c r="E202" s="25" t="s">
        <v>103</v>
      </c>
      <c r="F202" s="34" t="s">
        <v>116</v>
      </c>
      <c r="G202" s="24" t="s">
        <v>1330</v>
      </c>
      <c r="H202" s="24" t="s">
        <v>1296</v>
      </c>
      <c r="I202" s="24" t="s">
        <v>1331</v>
      </c>
      <c r="J202" s="24" t="s">
        <v>108</v>
      </c>
      <c r="K202" s="24" t="s">
        <v>1332</v>
      </c>
      <c r="L202" s="27" t="s">
        <v>1333</v>
      </c>
      <c r="M202" s="28" t="s">
        <v>14</v>
      </c>
      <c r="N202" s="27" t="s">
        <v>1884</v>
      </c>
      <c r="O202" s="27" t="s">
        <v>112</v>
      </c>
      <c r="P202" s="29" t="s">
        <v>113</v>
      </c>
      <c r="Q202" s="27" t="s">
        <v>121</v>
      </c>
    </row>
    <row r="203" spans="1:17" x14ac:dyDescent="0.25">
      <c r="A203" s="30" t="s">
        <v>2085</v>
      </c>
      <c r="B203" s="27" t="s">
        <v>47</v>
      </c>
      <c r="C203" s="27" t="s">
        <v>1311</v>
      </c>
      <c r="D203" s="27" t="s">
        <v>133</v>
      </c>
      <c r="E203" s="28" t="s">
        <v>103</v>
      </c>
      <c r="F203" s="33" t="s">
        <v>134</v>
      </c>
      <c r="G203" s="27" t="s">
        <v>1335</v>
      </c>
      <c r="H203" s="27" t="s">
        <v>108</v>
      </c>
      <c r="I203" s="27" t="s">
        <v>1336</v>
      </c>
      <c r="J203" s="27" t="s">
        <v>108</v>
      </c>
      <c r="K203" s="27" t="s">
        <v>1337</v>
      </c>
      <c r="L203" s="27" t="s">
        <v>1338</v>
      </c>
      <c r="M203" s="28" t="s">
        <v>14</v>
      </c>
      <c r="N203" s="27" t="s">
        <v>1884</v>
      </c>
      <c r="O203" s="27" t="s">
        <v>112</v>
      </c>
      <c r="P203" s="29" t="s">
        <v>113</v>
      </c>
      <c r="Q203" s="27" t="s">
        <v>121</v>
      </c>
    </row>
    <row r="204" spans="1:17" x14ac:dyDescent="0.25">
      <c r="A204" s="23" t="s">
        <v>2086</v>
      </c>
      <c r="B204" s="24" t="s">
        <v>47</v>
      </c>
      <c r="C204" s="24" t="s">
        <v>1340</v>
      </c>
      <c r="D204" s="24" t="s">
        <v>133</v>
      </c>
      <c r="E204" s="25" t="s">
        <v>103</v>
      </c>
      <c r="F204" s="34" t="s">
        <v>116</v>
      </c>
      <c r="G204" s="24" t="s">
        <v>1341</v>
      </c>
      <c r="H204" s="24" t="s">
        <v>1342</v>
      </c>
      <c r="I204" s="24" t="s">
        <v>1343</v>
      </c>
      <c r="J204" s="24" t="s">
        <v>108</v>
      </c>
      <c r="K204" s="24" t="s">
        <v>1344</v>
      </c>
      <c r="L204" s="27" t="s">
        <v>1345</v>
      </c>
      <c r="M204" s="28" t="s">
        <v>14</v>
      </c>
      <c r="N204" s="27" t="s">
        <v>1884</v>
      </c>
      <c r="O204" s="27" t="s">
        <v>112</v>
      </c>
      <c r="P204" s="29" t="s">
        <v>113</v>
      </c>
      <c r="Q204" s="27" t="s">
        <v>121</v>
      </c>
    </row>
    <row r="205" spans="1:17" x14ac:dyDescent="0.25">
      <c r="A205" s="30" t="s">
        <v>2087</v>
      </c>
      <c r="B205" s="27" t="s">
        <v>48</v>
      </c>
      <c r="C205" s="27" t="s">
        <v>771</v>
      </c>
      <c r="D205" s="27" t="s">
        <v>193</v>
      </c>
      <c r="E205" s="28" t="s">
        <v>103</v>
      </c>
      <c r="F205" s="36" t="s">
        <v>104</v>
      </c>
      <c r="G205" s="27" t="s">
        <v>1347</v>
      </c>
      <c r="H205" s="27" t="s">
        <v>539</v>
      </c>
      <c r="I205" s="27" t="s">
        <v>1348</v>
      </c>
      <c r="J205" s="27" t="s">
        <v>108</v>
      </c>
      <c r="K205" s="27" t="s">
        <v>1349</v>
      </c>
      <c r="L205" s="27" t="s">
        <v>1350</v>
      </c>
      <c r="M205" s="28" t="s">
        <v>14</v>
      </c>
      <c r="N205" s="27" t="s">
        <v>1884</v>
      </c>
      <c r="O205" s="27" t="s">
        <v>112</v>
      </c>
      <c r="P205" s="29" t="s">
        <v>113</v>
      </c>
      <c r="Q205" s="27" t="s">
        <v>121</v>
      </c>
    </row>
    <row r="206" spans="1:17" x14ac:dyDescent="0.25">
      <c r="A206" s="23" t="s">
        <v>2088</v>
      </c>
      <c r="B206" s="24" t="s">
        <v>48</v>
      </c>
      <c r="C206" s="24" t="s">
        <v>783</v>
      </c>
      <c r="D206" s="24" t="s">
        <v>193</v>
      </c>
      <c r="E206" s="25" t="s">
        <v>103</v>
      </c>
      <c r="F206" s="34" t="s">
        <v>116</v>
      </c>
      <c r="G206" s="24" t="s">
        <v>1352</v>
      </c>
      <c r="H206" s="24" t="s">
        <v>108</v>
      </c>
      <c r="I206" s="24" t="s">
        <v>1353</v>
      </c>
      <c r="J206" s="24" t="s">
        <v>108</v>
      </c>
      <c r="K206" s="24" t="s">
        <v>1354</v>
      </c>
      <c r="L206" s="27" t="s">
        <v>1355</v>
      </c>
      <c r="M206" s="28" t="s">
        <v>14</v>
      </c>
      <c r="N206" s="27" t="s">
        <v>1884</v>
      </c>
      <c r="O206" s="27" t="s">
        <v>112</v>
      </c>
      <c r="P206" s="29" t="s">
        <v>113</v>
      </c>
      <c r="Q206" s="27" t="s">
        <v>121</v>
      </c>
    </row>
    <row r="207" spans="1:17" x14ac:dyDescent="0.25">
      <c r="A207" s="30" t="s">
        <v>2089</v>
      </c>
      <c r="B207" s="27" t="s">
        <v>48</v>
      </c>
      <c r="C207" s="27" t="s">
        <v>790</v>
      </c>
      <c r="D207" s="27" t="s">
        <v>193</v>
      </c>
      <c r="E207" s="28" t="s">
        <v>103</v>
      </c>
      <c r="F207" s="31" t="s">
        <v>116</v>
      </c>
      <c r="G207" s="27" t="s">
        <v>1357</v>
      </c>
      <c r="H207" s="27" t="s">
        <v>108</v>
      </c>
      <c r="I207" s="27" t="s">
        <v>1358</v>
      </c>
      <c r="J207" s="27" t="s">
        <v>108</v>
      </c>
      <c r="K207" s="27" t="s">
        <v>1359</v>
      </c>
      <c r="L207" s="27" t="s">
        <v>1360</v>
      </c>
      <c r="M207" s="28" t="s">
        <v>14</v>
      </c>
      <c r="N207" s="27" t="s">
        <v>1884</v>
      </c>
      <c r="O207" s="27" t="s">
        <v>112</v>
      </c>
      <c r="P207" s="29" t="s">
        <v>113</v>
      </c>
      <c r="Q207" s="27" t="s">
        <v>121</v>
      </c>
    </row>
    <row r="208" spans="1:17" x14ac:dyDescent="0.25">
      <c r="A208" s="23" t="s">
        <v>2090</v>
      </c>
      <c r="B208" s="24" t="s">
        <v>48</v>
      </c>
      <c r="C208" s="24" t="s">
        <v>790</v>
      </c>
      <c r="D208" s="24" t="s">
        <v>193</v>
      </c>
      <c r="E208" s="25" t="s">
        <v>103</v>
      </c>
      <c r="F208" s="34" t="s">
        <v>116</v>
      </c>
      <c r="G208" s="24" t="s">
        <v>1362</v>
      </c>
      <c r="H208" s="24" t="s">
        <v>108</v>
      </c>
      <c r="I208" s="24" t="s">
        <v>1363</v>
      </c>
      <c r="J208" s="24" t="s">
        <v>108</v>
      </c>
      <c r="K208" s="24" t="s">
        <v>1364</v>
      </c>
      <c r="L208" s="27" t="s">
        <v>1365</v>
      </c>
      <c r="M208" s="28" t="s">
        <v>14</v>
      </c>
      <c r="N208" s="27" t="s">
        <v>1884</v>
      </c>
      <c r="O208" s="27" t="s">
        <v>112</v>
      </c>
      <c r="P208" s="29" t="s">
        <v>113</v>
      </c>
      <c r="Q208" s="27" t="s">
        <v>121</v>
      </c>
    </row>
    <row r="209" spans="1:17" x14ac:dyDescent="0.25">
      <c r="A209" s="30" t="s">
        <v>2091</v>
      </c>
      <c r="B209" s="27" t="s">
        <v>48</v>
      </c>
      <c r="C209" s="27" t="s">
        <v>1367</v>
      </c>
      <c r="D209" s="27" t="s">
        <v>193</v>
      </c>
      <c r="E209" s="28" t="s">
        <v>103</v>
      </c>
      <c r="F209" s="33" t="s">
        <v>134</v>
      </c>
      <c r="G209" s="27" t="s">
        <v>1368</v>
      </c>
      <c r="H209" s="27" t="s">
        <v>1369</v>
      </c>
      <c r="I209" s="27" t="s">
        <v>1370</v>
      </c>
      <c r="J209" s="27" t="s">
        <v>108</v>
      </c>
      <c r="K209" s="27" t="s">
        <v>1371</v>
      </c>
      <c r="L209" s="27" t="s">
        <v>1372</v>
      </c>
      <c r="M209" s="28" t="s">
        <v>14</v>
      </c>
      <c r="N209" s="27" t="s">
        <v>1884</v>
      </c>
      <c r="O209" s="27" t="s">
        <v>112</v>
      </c>
      <c r="P209" s="29" t="s">
        <v>113</v>
      </c>
      <c r="Q209" s="27" t="s">
        <v>121</v>
      </c>
    </row>
    <row r="210" spans="1:17" x14ac:dyDescent="0.25">
      <c r="A210" s="23" t="s">
        <v>2092</v>
      </c>
      <c r="B210" s="24" t="s">
        <v>48</v>
      </c>
      <c r="C210" s="24" t="s">
        <v>1090</v>
      </c>
      <c r="D210" s="24" t="s">
        <v>193</v>
      </c>
      <c r="E210" s="25" t="s">
        <v>103</v>
      </c>
      <c r="F210" s="26" t="s">
        <v>104</v>
      </c>
      <c r="G210" s="24" t="s">
        <v>1374</v>
      </c>
      <c r="H210" s="24" t="s">
        <v>108</v>
      </c>
      <c r="I210" s="24" t="s">
        <v>1375</v>
      </c>
      <c r="J210" s="24" t="s">
        <v>108</v>
      </c>
      <c r="K210" s="24" t="s">
        <v>1376</v>
      </c>
      <c r="L210" s="27" t="s">
        <v>1377</v>
      </c>
      <c r="M210" s="28" t="s">
        <v>14</v>
      </c>
      <c r="N210" s="27" t="s">
        <v>1884</v>
      </c>
      <c r="O210" s="27" t="s">
        <v>112</v>
      </c>
      <c r="P210" s="29" t="s">
        <v>113</v>
      </c>
      <c r="Q210" s="27" t="s">
        <v>121</v>
      </c>
    </row>
    <row r="211" spans="1:17" x14ac:dyDescent="0.25">
      <c r="A211" s="30" t="s">
        <v>2093</v>
      </c>
      <c r="B211" s="27" t="s">
        <v>48</v>
      </c>
      <c r="C211" s="27" t="s">
        <v>757</v>
      </c>
      <c r="D211" s="27" t="s">
        <v>193</v>
      </c>
      <c r="E211" s="28" t="s">
        <v>103</v>
      </c>
      <c r="F211" s="33" t="s">
        <v>134</v>
      </c>
      <c r="G211" s="27" t="s">
        <v>1379</v>
      </c>
      <c r="H211" s="27" t="s">
        <v>759</v>
      </c>
      <c r="I211" s="27" t="s">
        <v>1380</v>
      </c>
      <c r="J211" s="27" t="s">
        <v>108</v>
      </c>
      <c r="K211" s="27" t="s">
        <v>1381</v>
      </c>
      <c r="L211" s="27" t="s">
        <v>1382</v>
      </c>
      <c r="M211" s="28" t="s">
        <v>14</v>
      </c>
      <c r="N211" s="27" t="s">
        <v>1884</v>
      </c>
      <c r="O211" s="27" t="s">
        <v>112</v>
      </c>
      <c r="P211" s="29" t="s">
        <v>113</v>
      </c>
      <c r="Q211" s="27" t="s">
        <v>121</v>
      </c>
    </row>
    <row r="212" spans="1:17" x14ac:dyDescent="0.25">
      <c r="A212" s="23" t="s">
        <v>2094</v>
      </c>
      <c r="B212" s="24" t="s">
        <v>49</v>
      </c>
      <c r="C212" s="24" t="s">
        <v>771</v>
      </c>
      <c r="D212" s="24" t="s">
        <v>234</v>
      </c>
      <c r="E212" s="25" t="s">
        <v>103</v>
      </c>
      <c r="F212" s="37" t="s">
        <v>194</v>
      </c>
      <c r="G212" s="24" t="s">
        <v>1384</v>
      </c>
      <c r="H212" s="24" t="s">
        <v>1035</v>
      </c>
      <c r="I212" s="24" t="s">
        <v>1385</v>
      </c>
      <c r="J212" s="24" t="s">
        <v>108</v>
      </c>
      <c r="K212" s="24" t="s">
        <v>1386</v>
      </c>
      <c r="L212" s="27" t="s">
        <v>1387</v>
      </c>
      <c r="M212" s="28" t="s">
        <v>14</v>
      </c>
      <c r="N212" s="27" t="s">
        <v>1884</v>
      </c>
      <c r="O212" s="27" t="s">
        <v>112</v>
      </c>
      <c r="P212" s="29" t="s">
        <v>113</v>
      </c>
      <c r="Q212" s="27" t="s">
        <v>121</v>
      </c>
    </row>
    <row r="213" spans="1:17" x14ac:dyDescent="0.25">
      <c r="A213" s="30" t="s">
        <v>2095</v>
      </c>
      <c r="B213" s="27" t="s">
        <v>49</v>
      </c>
      <c r="C213" s="27" t="s">
        <v>703</v>
      </c>
      <c r="D213" s="27" t="s">
        <v>234</v>
      </c>
      <c r="E213" s="28" t="s">
        <v>103</v>
      </c>
      <c r="F213" s="31" t="s">
        <v>116</v>
      </c>
      <c r="G213" s="27" t="s">
        <v>1389</v>
      </c>
      <c r="H213" s="27" t="s">
        <v>108</v>
      </c>
      <c r="I213" s="27" t="s">
        <v>1390</v>
      </c>
      <c r="J213" s="27" t="s">
        <v>108</v>
      </c>
      <c r="K213" s="27" t="s">
        <v>1391</v>
      </c>
      <c r="L213" s="27" t="s">
        <v>1392</v>
      </c>
      <c r="M213" s="28" t="s">
        <v>14</v>
      </c>
      <c r="N213" s="27" t="s">
        <v>1884</v>
      </c>
      <c r="O213" s="27" t="s">
        <v>112</v>
      </c>
      <c r="P213" s="29" t="s">
        <v>113</v>
      </c>
      <c r="Q213" s="27" t="s">
        <v>121</v>
      </c>
    </row>
    <row r="214" spans="1:17" x14ac:dyDescent="0.25">
      <c r="A214" s="23" t="s">
        <v>2096</v>
      </c>
      <c r="B214" s="24" t="s">
        <v>49</v>
      </c>
      <c r="C214" s="24" t="s">
        <v>790</v>
      </c>
      <c r="D214" s="24" t="s">
        <v>234</v>
      </c>
      <c r="E214" s="25" t="s">
        <v>103</v>
      </c>
      <c r="F214" s="34" t="s">
        <v>116</v>
      </c>
      <c r="G214" s="24" t="s">
        <v>1394</v>
      </c>
      <c r="H214" s="24" t="s">
        <v>108</v>
      </c>
      <c r="I214" s="24" t="s">
        <v>1395</v>
      </c>
      <c r="J214" s="24" t="s">
        <v>108</v>
      </c>
      <c r="K214" s="24" t="s">
        <v>1396</v>
      </c>
      <c r="L214" s="27" t="s">
        <v>1397</v>
      </c>
      <c r="M214" s="28" t="s">
        <v>14</v>
      </c>
      <c r="N214" s="27" t="s">
        <v>1884</v>
      </c>
      <c r="O214" s="27" t="s">
        <v>112</v>
      </c>
      <c r="P214" s="29" t="s">
        <v>113</v>
      </c>
      <c r="Q214" s="27" t="s">
        <v>121</v>
      </c>
    </row>
    <row r="215" spans="1:17" x14ac:dyDescent="0.25">
      <c r="A215" s="30" t="s">
        <v>2097</v>
      </c>
      <c r="B215" s="27" t="s">
        <v>49</v>
      </c>
      <c r="C215" s="27" t="s">
        <v>1399</v>
      </c>
      <c r="D215" s="27" t="s">
        <v>234</v>
      </c>
      <c r="E215" s="28" t="s">
        <v>103</v>
      </c>
      <c r="F215" s="33" t="s">
        <v>134</v>
      </c>
      <c r="G215" s="27" t="s">
        <v>1400</v>
      </c>
      <c r="H215" s="27" t="s">
        <v>1401</v>
      </c>
      <c r="I215" s="27" t="s">
        <v>1402</v>
      </c>
      <c r="J215" s="27" t="s">
        <v>108</v>
      </c>
      <c r="K215" s="27" t="s">
        <v>1403</v>
      </c>
      <c r="L215" s="27" t="s">
        <v>1404</v>
      </c>
      <c r="M215" s="28" t="s">
        <v>14</v>
      </c>
      <c r="N215" s="27" t="s">
        <v>1884</v>
      </c>
      <c r="O215" s="27" t="s">
        <v>112</v>
      </c>
      <c r="P215" s="29" t="s">
        <v>113</v>
      </c>
      <c r="Q215" s="27" t="s">
        <v>121</v>
      </c>
    </row>
    <row r="216" spans="1:17" x14ac:dyDescent="0.25">
      <c r="A216" s="23" t="s">
        <v>2098</v>
      </c>
      <c r="B216" s="24" t="s">
        <v>49</v>
      </c>
      <c r="C216" s="24" t="s">
        <v>95</v>
      </c>
      <c r="D216" s="24" t="s">
        <v>234</v>
      </c>
      <c r="E216" s="25" t="s">
        <v>103</v>
      </c>
      <c r="F216" s="26" t="s">
        <v>104</v>
      </c>
      <c r="G216" s="24" t="s">
        <v>1406</v>
      </c>
      <c r="H216" s="24" t="s">
        <v>108</v>
      </c>
      <c r="I216" s="24" t="s">
        <v>1407</v>
      </c>
      <c r="J216" s="24" t="s">
        <v>108</v>
      </c>
      <c r="K216" s="24" t="s">
        <v>1408</v>
      </c>
      <c r="L216" s="27" t="s">
        <v>1409</v>
      </c>
      <c r="M216" s="28" t="s">
        <v>14</v>
      </c>
      <c r="N216" s="27" t="s">
        <v>1884</v>
      </c>
      <c r="O216" s="27" t="s">
        <v>112</v>
      </c>
      <c r="P216" s="29" t="s">
        <v>113</v>
      </c>
      <c r="Q216" s="27" t="s">
        <v>121</v>
      </c>
    </row>
    <row r="217" spans="1:17" x14ac:dyDescent="0.25">
      <c r="A217" s="30" t="s">
        <v>2099</v>
      </c>
      <c r="B217" s="27" t="s">
        <v>49</v>
      </c>
      <c r="C217" s="27" t="s">
        <v>1411</v>
      </c>
      <c r="D217" s="27" t="s">
        <v>234</v>
      </c>
      <c r="E217" s="28" t="s">
        <v>141</v>
      </c>
      <c r="F217" s="31" t="s">
        <v>116</v>
      </c>
      <c r="G217" s="27" t="s">
        <v>1412</v>
      </c>
      <c r="H217" s="27" t="s">
        <v>1413</v>
      </c>
      <c r="I217" s="27" t="s">
        <v>1414</v>
      </c>
      <c r="J217" s="27" t="s">
        <v>108</v>
      </c>
      <c r="K217" s="27" t="s">
        <v>1415</v>
      </c>
      <c r="L217" s="27" t="s">
        <v>1416</v>
      </c>
      <c r="M217" s="28" t="s">
        <v>14</v>
      </c>
      <c r="N217" s="27" t="s">
        <v>1884</v>
      </c>
      <c r="O217" s="27" t="s">
        <v>112</v>
      </c>
      <c r="P217" s="29" t="s">
        <v>113</v>
      </c>
      <c r="Q217" s="27" t="s">
        <v>121</v>
      </c>
    </row>
    <row r="218" spans="1:17" x14ac:dyDescent="0.25">
      <c r="A218" s="23" t="s">
        <v>2100</v>
      </c>
      <c r="B218" s="24" t="s">
        <v>49</v>
      </c>
      <c r="C218" s="24" t="s">
        <v>765</v>
      </c>
      <c r="D218" s="24" t="s">
        <v>234</v>
      </c>
      <c r="E218" s="25" t="s">
        <v>141</v>
      </c>
      <c r="F218" s="32" t="s">
        <v>134</v>
      </c>
      <c r="G218" s="24" t="s">
        <v>1418</v>
      </c>
      <c r="H218" s="24" t="s">
        <v>1419</v>
      </c>
      <c r="I218" s="24" t="s">
        <v>1385</v>
      </c>
      <c r="J218" s="24" t="s">
        <v>108</v>
      </c>
      <c r="K218" s="24" t="s">
        <v>1420</v>
      </c>
      <c r="L218" s="27" t="s">
        <v>1421</v>
      </c>
      <c r="M218" s="28" t="s">
        <v>14</v>
      </c>
      <c r="N218" s="27" t="s">
        <v>1884</v>
      </c>
      <c r="O218" s="27" t="s">
        <v>112</v>
      </c>
      <c r="P218" s="29" t="s">
        <v>113</v>
      </c>
      <c r="Q218" s="27" t="s">
        <v>121</v>
      </c>
    </row>
    <row r="219" spans="1:17" x14ac:dyDescent="0.25">
      <c r="A219" s="30" t="s">
        <v>2101</v>
      </c>
      <c r="B219" s="27" t="s">
        <v>50</v>
      </c>
      <c r="C219" s="27" t="s">
        <v>1423</v>
      </c>
      <c r="D219" s="27" t="s">
        <v>133</v>
      </c>
      <c r="E219" s="28" t="s">
        <v>103</v>
      </c>
      <c r="F219" s="36" t="s">
        <v>104</v>
      </c>
      <c r="G219" s="27" t="s">
        <v>1424</v>
      </c>
      <c r="H219" s="27" t="s">
        <v>507</v>
      </c>
      <c r="I219" s="27" t="s">
        <v>1425</v>
      </c>
      <c r="J219" s="27" t="s">
        <v>108</v>
      </c>
      <c r="K219" s="27" t="s">
        <v>1426</v>
      </c>
      <c r="L219" s="27" t="s">
        <v>1427</v>
      </c>
      <c r="M219" s="28" t="s">
        <v>14</v>
      </c>
      <c r="N219" s="27" t="s">
        <v>1884</v>
      </c>
      <c r="O219" s="27" t="s">
        <v>112</v>
      </c>
      <c r="P219" s="29" t="s">
        <v>113</v>
      </c>
      <c r="Q219" s="27" t="s">
        <v>121</v>
      </c>
    </row>
    <row r="220" spans="1:17" x14ac:dyDescent="0.25">
      <c r="A220" s="23" t="s">
        <v>2102</v>
      </c>
      <c r="B220" s="24" t="s">
        <v>50</v>
      </c>
      <c r="C220" s="24" t="s">
        <v>1429</v>
      </c>
      <c r="D220" s="24" t="s">
        <v>133</v>
      </c>
      <c r="E220" s="25" t="s">
        <v>103</v>
      </c>
      <c r="F220" s="37" t="s">
        <v>194</v>
      </c>
      <c r="G220" s="24" t="s">
        <v>1430</v>
      </c>
      <c r="H220" s="24" t="s">
        <v>108</v>
      </c>
      <c r="I220" s="24" t="s">
        <v>1431</v>
      </c>
      <c r="J220" s="24" t="s">
        <v>1432</v>
      </c>
      <c r="K220" s="24" t="s">
        <v>1433</v>
      </c>
      <c r="L220" s="27" t="s">
        <v>1434</v>
      </c>
      <c r="M220" s="28" t="s">
        <v>14</v>
      </c>
      <c r="N220" s="27" t="s">
        <v>1884</v>
      </c>
      <c r="O220" s="27" t="s">
        <v>112</v>
      </c>
      <c r="P220" s="29" t="s">
        <v>113</v>
      </c>
      <c r="Q220" s="27" t="s">
        <v>121</v>
      </c>
    </row>
    <row r="221" spans="1:17" x14ac:dyDescent="0.25">
      <c r="A221" s="30" t="s">
        <v>2103</v>
      </c>
      <c r="B221" s="27" t="s">
        <v>50</v>
      </c>
      <c r="C221" s="27" t="s">
        <v>1429</v>
      </c>
      <c r="D221" s="27" t="s">
        <v>133</v>
      </c>
      <c r="E221" s="28" t="s">
        <v>167</v>
      </c>
      <c r="F221" s="36" t="s">
        <v>104</v>
      </c>
      <c r="G221" s="27" t="s">
        <v>1436</v>
      </c>
      <c r="H221" s="27" t="s">
        <v>108</v>
      </c>
      <c r="I221" s="27" t="s">
        <v>1437</v>
      </c>
      <c r="J221" s="27" t="s">
        <v>108</v>
      </c>
      <c r="K221" s="27" t="s">
        <v>1438</v>
      </c>
      <c r="L221" s="27" t="s">
        <v>1439</v>
      </c>
      <c r="M221" s="28" t="s">
        <v>14</v>
      </c>
      <c r="N221" s="27" t="s">
        <v>1884</v>
      </c>
      <c r="O221" s="27" t="s">
        <v>112</v>
      </c>
      <c r="P221" s="29" t="s">
        <v>113</v>
      </c>
      <c r="Q221" s="27" t="s">
        <v>121</v>
      </c>
    </row>
    <row r="222" spans="1:17" x14ac:dyDescent="0.25">
      <c r="A222" s="23" t="s">
        <v>2104</v>
      </c>
      <c r="B222" s="24" t="s">
        <v>50</v>
      </c>
      <c r="C222" s="24" t="s">
        <v>1429</v>
      </c>
      <c r="D222" s="24" t="s">
        <v>133</v>
      </c>
      <c r="E222" s="25" t="s">
        <v>103</v>
      </c>
      <c r="F222" s="34" t="s">
        <v>116</v>
      </c>
      <c r="G222" s="24" t="s">
        <v>1441</v>
      </c>
      <c r="H222" s="24" t="s">
        <v>108</v>
      </c>
      <c r="I222" s="24" t="s">
        <v>1442</v>
      </c>
      <c r="J222" s="24" t="s">
        <v>108</v>
      </c>
      <c r="K222" s="24" t="s">
        <v>1443</v>
      </c>
      <c r="L222" s="27" t="s">
        <v>1444</v>
      </c>
      <c r="M222" s="28" t="s">
        <v>14</v>
      </c>
      <c r="N222" s="27" t="s">
        <v>1884</v>
      </c>
      <c r="O222" s="27" t="s">
        <v>112</v>
      </c>
      <c r="P222" s="29" t="s">
        <v>113</v>
      </c>
      <c r="Q222" s="27" t="s">
        <v>121</v>
      </c>
    </row>
    <row r="223" spans="1:17" x14ac:dyDescent="0.25">
      <c r="A223" s="30" t="s">
        <v>2105</v>
      </c>
      <c r="B223" s="27" t="s">
        <v>50</v>
      </c>
      <c r="C223" s="27" t="s">
        <v>1429</v>
      </c>
      <c r="D223" s="27" t="s">
        <v>133</v>
      </c>
      <c r="E223" s="28" t="s">
        <v>103</v>
      </c>
      <c r="F223" s="33" t="s">
        <v>134</v>
      </c>
      <c r="G223" s="27" t="s">
        <v>1446</v>
      </c>
      <c r="H223" s="27" t="s">
        <v>108</v>
      </c>
      <c r="I223" s="27" t="s">
        <v>1447</v>
      </c>
      <c r="J223" s="27" t="s">
        <v>108</v>
      </c>
      <c r="K223" s="27" t="s">
        <v>1448</v>
      </c>
      <c r="L223" s="27" t="s">
        <v>1449</v>
      </c>
      <c r="M223" s="28" t="s">
        <v>14</v>
      </c>
      <c r="N223" s="27" t="s">
        <v>1884</v>
      </c>
      <c r="O223" s="27" t="s">
        <v>112</v>
      </c>
      <c r="P223" s="29" t="s">
        <v>113</v>
      </c>
      <c r="Q223" s="27" t="s">
        <v>121</v>
      </c>
    </row>
    <row r="224" spans="1:17" x14ac:dyDescent="0.25">
      <c r="A224" s="23" t="s">
        <v>2106</v>
      </c>
      <c r="B224" s="24" t="s">
        <v>50</v>
      </c>
      <c r="C224" s="24" t="s">
        <v>866</v>
      </c>
      <c r="D224" s="24" t="s">
        <v>133</v>
      </c>
      <c r="E224" s="25" t="s">
        <v>103</v>
      </c>
      <c r="F224" s="26" t="s">
        <v>104</v>
      </c>
      <c r="G224" s="24" t="s">
        <v>1451</v>
      </c>
      <c r="H224" s="24" t="s">
        <v>1217</v>
      </c>
      <c r="I224" s="24" t="s">
        <v>1452</v>
      </c>
      <c r="J224" s="24" t="s">
        <v>1453</v>
      </c>
      <c r="K224" s="24" t="s">
        <v>1454</v>
      </c>
      <c r="L224" s="27" t="s">
        <v>1455</v>
      </c>
      <c r="M224" s="28" t="s">
        <v>14</v>
      </c>
      <c r="N224" s="27" t="s">
        <v>1884</v>
      </c>
      <c r="O224" s="27" t="s">
        <v>112</v>
      </c>
      <c r="P224" s="29" t="s">
        <v>113</v>
      </c>
      <c r="Q224" s="27" t="s">
        <v>121</v>
      </c>
    </row>
    <row r="225" spans="1:17" x14ac:dyDescent="0.25">
      <c r="A225" s="30" t="s">
        <v>2107</v>
      </c>
      <c r="B225" s="27" t="s">
        <v>50</v>
      </c>
      <c r="C225" s="27" t="s">
        <v>917</v>
      </c>
      <c r="D225" s="27" t="s">
        <v>133</v>
      </c>
      <c r="E225" s="28" t="s">
        <v>103</v>
      </c>
      <c r="F225" s="36" t="s">
        <v>104</v>
      </c>
      <c r="G225" s="27" t="s">
        <v>1457</v>
      </c>
      <c r="H225" s="27" t="s">
        <v>1217</v>
      </c>
      <c r="I225" s="27" t="s">
        <v>1458</v>
      </c>
      <c r="J225" s="27" t="s">
        <v>108</v>
      </c>
      <c r="K225" s="27" t="s">
        <v>1459</v>
      </c>
      <c r="L225" s="27" t="s">
        <v>1460</v>
      </c>
      <c r="M225" s="28" t="s">
        <v>14</v>
      </c>
      <c r="N225" s="27" t="s">
        <v>1884</v>
      </c>
      <c r="O225" s="27" t="s">
        <v>112</v>
      </c>
      <c r="P225" s="29" t="s">
        <v>113</v>
      </c>
      <c r="Q225" s="27" t="s">
        <v>121</v>
      </c>
    </row>
    <row r="226" spans="1:17" x14ac:dyDescent="0.25">
      <c r="A226" s="23" t="s">
        <v>2108</v>
      </c>
      <c r="B226" s="24" t="s">
        <v>50</v>
      </c>
      <c r="C226" s="24" t="s">
        <v>917</v>
      </c>
      <c r="D226" s="24" t="s">
        <v>133</v>
      </c>
      <c r="E226" s="25" t="s">
        <v>103</v>
      </c>
      <c r="F226" s="32" t="s">
        <v>134</v>
      </c>
      <c r="G226" s="24" t="s">
        <v>1462</v>
      </c>
      <c r="H226" s="24" t="s">
        <v>108</v>
      </c>
      <c r="I226" s="24" t="s">
        <v>925</v>
      </c>
      <c r="J226" s="24" t="s">
        <v>108</v>
      </c>
      <c r="K226" s="24" t="s">
        <v>1463</v>
      </c>
      <c r="L226" s="27" t="s">
        <v>1464</v>
      </c>
      <c r="M226" s="28" t="s">
        <v>14</v>
      </c>
      <c r="N226" s="27" t="s">
        <v>1884</v>
      </c>
      <c r="O226" s="27" t="s">
        <v>112</v>
      </c>
      <c r="P226" s="29" t="s">
        <v>113</v>
      </c>
      <c r="Q226" s="27" t="s">
        <v>121</v>
      </c>
    </row>
    <row r="227" spans="1:17" x14ac:dyDescent="0.25">
      <c r="A227" s="30" t="s">
        <v>2109</v>
      </c>
      <c r="B227" s="27" t="s">
        <v>50</v>
      </c>
      <c r="C227" s="27" t="s">
        <v>1466</v>
      </c>
      <c r="D227" s="27" t="s">
        <v>133</v>
      </c>
      <c r="E227" s="28" t="s">
        <v>103</v>
      </c>
      <c r="F227" s="35" t="s">
        <v>194</v>
      </c>
      <c r="G227" s="27" t="s">
        <v>1467</v>
      </c>
      <c r="H227" s="27" t="s">
        <v>1468</v>
      </c>
      <c r="I227" s="27" t="s">
        <v>1469</v>
      </c>
      <c r="J227" s="27" t="s">
        <v>108</v>
      </c>
      <c r="K227" s="27" t="s">
        <v>1470</v>
      </c>
      <c r="L227" s="27" t="s">
        <v>1471</v>
      </c>
      <c r="M227" s="28" t="s">
        <v>14</v>
      </c>
      <c r="N227" s="27" t="s">
        <v>1884</v>
      </c>
      <c r="O227" s="27" t="s">
        <v>112</v>
      </c>
      <c r="P227" s="29" t="s">
        <v>113</v>
      </c>
      <c r="Q227" s="27" t="s">
        <v>121</v>
      </c>
    </row>
    <row r="228" spans="1:17" x14ac:dyDescent="0.25">
      <c r="A228" s="23" t="s">
        <v>2110</v>
      </c>
      <c r="B228" s="24" t="s">
        <v>50</v>
      </c>
      <c r="C228" s="24" t="s">
        <v>1466</v>
      </c>
      <c r="D228" s="24" t="s">
        <v>133</v>
      </c>
      <c r="E228" s="25" t="s">
        <v>103</v>
      </c>
      <c r="F228" s="37" t="s">
        <v>194</v>
      </c>
      <c r="G228" s="24" t="s">
        <v>1473</v>
      </c>
      <c r="H228" s="24" t="s">
        <v>108</v>
      </c>
      <c r="I228" s="24" t="s">
        <v>1474</v>
      </c>
      <c r="J228" s="24" t="s">
        <v>108</v>
      </c>
      <c r="K228" s="24" t="s">
        <v>1475</v>
      </c>
      <c r="L228" s="27" t="s">
        <v>1476</v>
      </c>
      <c r="M228" s="28" t="s">
        <v>14</v>
      </c>
      <c r="N228" s="27" t="s">
        <v>1884</v>
      </c>
      <c r="O228" s="27" t="s">
        <v>112</v>
      </c>
      <c r="P228" s="29" t="s">
        <v>113</v>
      </c>
      <c r="Q228" s="27" t="s">
        <v>121</v>
      </c>
    </row>
    <row r="229" spans="1:17" x14ac:dyDescent="0.25">
      <c r="A229" s="30" t="s">
        <v>2111</v>
      </c>
      <c r="B229" s="27" t="s">
        <v>50</v>
      </c>
      <c r="C229" s="27" t="s">
        <v>1466</v>
      </c>
      <c r="D229" s="27" t="s">
        <v>133</v>
      </c>
      <c r="E229" s="28" t="s">
        <v>167</v>
      </c>
      <c r="F229" s="33" t="s">
        <v>134</v>
      </c>
      <c r="G229" s="27" t="s">
        <v>1478</v>
      </c>
      <c r="H229" s="27" t="s">
        <v>108</v>
      </c>
      <c r="I229" s="27" t="s">
        <v>1479</v>
      </c>
      <c r="J229" s="27" t="s">
        <v>108</v>
      </c>
      <c r="K229" s="27" t="s">
        <v>1480</v>
      </c>
      <c r="L229" s="27" t="s">
        <v>1481</v>
      </c>
      <c r="M229" s="28" t="s">
        <v>14</v>
      </c>
      <c r="N229" s="27" t="s">
        <v>1884</v>
      </c>
      <c r="O229" s="27" t="s">
        <v>112</v>
      </c>
      <c r="P229" s="29" t="s">
        <v>113</v>
      </c>
      <c r="Q229" s="27" t="s">
        <v>121</v>
      </c>
    </row>
    <row r="230" spans="1:17" x14ac:dyDescent="0.25">
      <c r="A230" s="23" t="s">
        <v>2112</v>
      </c>
      <c r="B230" s="24" t="s">
        <v>50</v>
      </c>
      <c r="C230" s="24" t="s">
        <v>722</v>
      </c>
      <c r="D230" s="24" t="s">
        <v>133</v>
      </c>
      <c r="E230" s="25" t="s">
        <v>103</v>
      </c>
      <c r="F230" s="26" t="s">
        <v>104</v>
      </c>
      <c r="G230" s="24" t="s">
        <v>1483</v>
      </c>
      <c r="H230" s="24" t="s">
        <v>108</v>
      </c>
      <c r="I230" s="24" t="s">
        <v>1484</v>
      </c>
      <c r="J230" s="24" t="s">
        <v>108</v>
      </c>
      <c r="K230" s="24" t="s">
        <v>1485</v>
      </c>
      <c r="L230" s="27" t="s">
        <v>1486</v>
      </c>
      <c r="M230" s="28" t="s">
        <v>14</v>
      </c>
      <c r="N230" s="27" t="s">
        <v>1884</v>
      </c>
      <c r="O230" s="27" t="s">
        <v>112</v>
      </c>
      <c r="P230" s="29" t="s">
        <v>113</v>
      </c>
      <c r="Q230" s="27" t="s">
        <v>121</v>
      </c>
    </row>
    <row r="231" spans="1:17" x14ac:dyDescent="0.25">
      <c r="A231" s="30" t="s">
        <v>2113</v>
      </c>
      <c r="B231" s="27" t="s">
        <v>50</v>
      </c>
      <c r="C231" s="27" t="s">
        <v>722</v>
      </c>
      <c r="D231" s="27" t="s">
        <v>133</v>
      </c>
      <c r="E231" s="28" t="s">
        <v>103</v>
      </c>
      <c r="F231" s="35" t="s">
        <v>194</v>
      </c>
      <c r="G231" s="27" t="s">
        <v>1488</v>
      </c>
      <c r="H231" s="27" t="s">
        <v>1489</v>
      </c>
      <c r="I231" s="27" t="s">
        <v>1490</v>
      </c>
      <c r="J231" s="27" t="s">
        <v>108</v>
      </c>
      <c r="K231" s="27" t="s">
        <v>1491</v>
      </c>
      <c r="L231" s="27" t="s">
        <v>1492</v>
      </c>
      <c r="M231" s="28" t="s">
        <v>14</v>
      </c>
      <c r="N231" s="27" t="s">
        <v>1884</v>
      </c>
      <c r="O231" s="27" t="s">
        <v>112</v>
      </c>
      <c r="P231" s="29" t="s">
        <v>113</v>
      </c>
      <c r="Q231" s="27" t="s">
        <v>121</v>
      </c>
    </row>
    <row r="232" spans="1:17" x14ac:dyDescent="0.25">
      <c r="A232" s="23" t="s">
        <v>2114</v>
      </c>
      <c r="B232" s="24" t="s">
        <v>50</v>
      </c>
      <c r="C232" s="24" t="s">
        <v>722</v>
      </c>
      <c r="D232" s="24" t="s">
        <v>133</v>
      </c>
      <c r="E232" s="25" t="s">
        <v>103</v>
      </c>
      <c r="F232" s="37" t="s">
        <v>194</v>
      </c>
      <c r="G232" s="24" t="s">
        <v>1494</v>
      </c>
      <c r="H232" s="24" t="s">
        <v>1495</v>
      </c>
      <c r="I232" s="24" t="s">
        <v>1496</v>
      </c>
      <c r="J232" s="24" t="s">
        <v>108</v>
      </c>
      <c r="K232" s="24" t="s">
        <v>1497</v>
      </c>
      <c r="L232" s="27" t="s">
        <v>1498</v>
      </c>
      <c r="M232" s="28" t="s">
        <v>14</v>
      </c>
      <c r="N232" s="27" t="s">
        <v>1884</v>
      </c>
      <c r="O232" s="27" t="s">
        <v>112</v>
      </c>
      <c r="P232" s="29" t="s">
        <v>113</v>
      </c>
      <c r="Q232" s="27" t="s">
        <v>121</v>
      </c>
    </row>
    <row r="233" spans="1:17" x14ac:dyDescent="0.25">
      <c r="A233" s="30" t="s">
        <v>2115</v>
      </c>
      <c r="B233" s="27" t="s">
        <v>50</v>
      </c>
      <c r="C233" s="27" t="s">
        <v>722</v>
      </c>
      <c r="D233" s="27" t="s">
        <v>133</v>
      </c>
      <c r="E233" s="28" t="s">
        <v>103</v>
      </c>
      <c r="F233" s="36" t="s">
        <v>104</v>
      </c>
      <c r="G233" s="27" t="s">
        <v>1500</v>
      </c>
      <c r="H233" s="27" t="s">
        <v>1495</v>
      </c>
      <c r="I233" s="27" t="s">
        <v>1501</v>
      </c>
      <c r="J233" s="27" t="s">
        <v>108</v>
      </c>
      <c r="K233" s="27" t="s">
        <v>1502</v>
      </c>
      <c r="L233" s="27" t="s">
        <v>1503</v>
      </c>
      <c r="M233" s="28" t="s">
        <v>14</v>
      </c>
      <c r="N233" s="27" t="s">
        <v>1884</v>
      </c>
      <c r="O233" s="27" t="s">
        <v>112</v>
      </c>
      <c r="P233" s="29" t="s">
        <v>113</v>
      </c>
      <c r="Q233" s="27" t="s">
        <v>121</v>
      </c>
    </row>
    <row r="234" spans="1:17" x14ac:dyDescent="0.25">
      <c r="A234" s="23" t="s">
        <v>2116</v>
      </c>
      <c r="B234" s="24" t="s">
        <v>50</v>
      </c>
      <c r="C234" s="24" t="s">
        <v>722</v>
      </c>
      <c r="D234" s="24" t="s">
        <v>133</v>
      </c>
      <c r="E234" s="25" t="s">
        <v>103</v>
      </c>
      <c r="F234" s="34" t="s">
        <v>116</v>
      </c>
      <c r="G234" s="24" t="s">
        <v>1505</v>
      </c>
      <c r="H234" s="24" t="s">
        <v>108</v>
      </c>
      <c r="I234" s="24" t="s">
        <v>1506</v>
      </c>
      <c r="J234" s="24" t="s">
        <v>108</v>
      </c>
      <c r="K234" s="24" t="s">
        <v>1507</v>
      </c>
      <c r="L234" s="27" t="s">
        <v>1508</v>
      </c>
      <c r="M234" s="28" t="s">
        <v>14</v>
      </c>
      <c r="N234" s="27" t="s">
        <v>1884</v>
      </c>
      <c r="O234" s="27" t="s">
        <v>112</v>
      </c>
      <c r="P234" s="29" t="s">
        <v>113</v>
      </c>
      <c r="Q234" s="27" t="s">
        <v>121</v>
      </c>
    </row>
    <row r="235" spans="1:17" x14ac:dyDescent="0.25">
      <c r="A235" s="30" t="s">
        <v>2117</v>
      </c>
      <c r="B235" s="27" t="s">
        <v>50</v>
      </c>
      <c r="C235" s="27" t="s">
        <v>722</v>
      </c>
      <c r="D235" s="27" t="s">
        <v>133</v>
      </c>
      <c r="E235" s="28" t="s">
        <v>141</v>
      </c>
      <c r="F235" s="31" t="s">
        <v>116</v>
      </c>
      <c r="G235" s="27" t="s">
        <v>1510</v>
      </c>
      <c r="H235" s="27" t="s">
        <v>1511</v>
      </c>
      <c r="I235" s="27" t="s">
        <v>1512</v>
      </c>
      <c r="J235" s="27" t="s">
        <v>108</v>
      </c>
      <c r="K235" s="27" t="s">
        <v>1513</v>
      </c>
      <c r="L235" s="27" t="s">
        <v>1514</v>
      </c>
      <c r="M235" s="28" t="s">
        <v>14</v>
      </c>
      <c r="N235" s="27" t="s">
        <v>1884</v>
      </c>
      <c r="O235" s="27" t="s">
        <v>112</v>
      </c>
      <c r="P235" s="29" t="s">
        <v>113</v>
      </c>
      <c r="Q235" s="27" t="s">
        <v>121</v>
      </c>
    </row>
    <row r="236" spans="1:17" x14ac:dyDescent="0.25">
      <c r="A236" s="23" t="s">
        <v>2118</v>
      </c>
      <c r="B236" s="24" t="s">
        <v>50</v>
      </c>
      <c r="C236" s="24" t="s">
        <v>722</v>
      </c>
      <c r="D236" s="24" t="s">
        <v>133</v>
      </c>
      <c r="E236" s="25" t="s">
        <v>103</v>
      </c>
      <c r="F236" s="26" t="s">
        <v>104</v>
      </c>
      <c r="G236" s="24" t="s">
        <v>1516</v>
      </c>
      <c r="H236" s="24" t="s">
        <v>108</v>
      </c>
      <c r="I236" s="24" t="s">
        <v>1517</v>
      </c>
      <c r="J236" s="24" t="s">
        <v>108</v>
      </c>
      <c r="K236" s="24" t="s">
        <v>1518</v>
      </c>
      <c r="L236" s="27" t="s">
        <v>1519</v>
      </c>
      <c r="M236" s="28" t="s">
        <v>14</v>
      </c>
      <c r="N236" s="27" t="s">
        <v>1884</v>
      </c>
      <c r="O236" s="27" t="s">
        <v>112</v>
      </c>
      <c r="P236" s="29" t="s">
        <v>113</v>
      </c>
      <c r="Q236" s="27" t="s">
        <v>121</v>
      </c>
    </row>
    <row r="237" spans="1:17" x14ac:dyDescent="0.25">
      <c r="A237" s="30" t="s">
        <v>2119</v>
      </c>
      <c r="B237" s="27" t="s">
        <v>50</v>
      </c>
      <c r="C237" s="27" t="s">
        <v>722</v>
      </c>
      <c r="D237" s="27" t="s">
        <v>133</v>
      </c>
      <c r="E237" s="28" t="s">
        <v>103</v>
      </c>
      <c r="F237" s="33" t="s">
        <v>134</v>
      </c>
      <c r="G237" s="27" t="s">
        <v>1521</v>
      </c>
      <c r="H237" s="27" t="s">
        <v>108</v>
      </c>
      <c r="I237" s="27" t="s">
        <v>1522</v>
      </c>
      <c r="J237" s="27" t="s">
        <v>108</v>
      </c>
      <c r="K237" s="27" t="s">
        <v>1523</v>
      </c>
      <c r="L237" s="27" t="s">
        <v>1524</v>
      </c>
      <c r="M237" s="28" t="s">
        <v>14</v>
      </c>
      <c r="N237" s="27" t="s">
        <v>1884</v>
      </c>
      <c r="O237" s="27" t="s">
        <v>112</v>
      </c>
      <c r="P237" s="29" t="s">
        <v>113</v>
      </c>
      <c r="Q237" s="27" t="s">
        <v>121</v>
      </c>
    </row>
    <row r="238" spans="1:17" x14ac:dyDescent="0.25">
      <c r="A238" s="23" t="s">
        <v>2120</v>
      </c>
      <c r="B238" s="24" t="s">
        <v>50</v>
      </c>
      <c r="C238" s="24" t="s">
        <v>1526</v>
      </c>
      <c r="D238" s="24" t="s">
        <v>133</v>
      </c>
      <c r="E238" s="25" t="s">
        <v>288</v>
      </c>
      <c r="F238" s="37" t="s">
        <v>194</v>
      </c>
      <c r="G238" s="24" t="s">
        <v>1527</v>
      </c>
      <c r="H238" s="24" t="s">
        <v>1528</v>
      </c>
      <c r="I238" s="24" t="s">
        <v>1529</v>
      </c>
      <c r="J238" s="24" t="s">
        <v>108</v>
      </c>
      <c r="K238" s="24" t="s">
        <v>1530</v>
      </c>
      <c r="L238" s="27" t="s">
        <v>1531</v>
      </c>
      <c r="M238" s="28" t="s">
        <v>14</v>
      </c>
      <c r="N238" s="27" t="s">
        <v>1884</v>
      </c>
      <c r="O238" s="27" t="s">
        <v>112</v>
      </c>
      <c r="P238" s="29" t="s">
        <v>113</v>
      </c>
      <c r="Q238" s="27" t="s">
        <v>121</v>
      </c>
    </row>
    <row r="239" spans="1:17" x14ac:dyDescent="0.25">
      <c r="A239" s="30" t="s">
        <v>2121</v>
      </c>
      <c r="B239" s="27" t="s">
        <v>50</v>
      </c>
      <c r="C239" s="27" t="s">
        <v>288</v>
      </c>
      <c r="D239" s="27" t="s">
        <v>133</v>
      </c>
      <c r="E239" s="28" t="s">
        <v>288</v>
      </c>
      <c r="F239" s="31" t="s">
        <v>116</v>
      </c>
      <c r="G239" s="27" t="s">
        <v>1533</v>
      </c>
      <c r="H239" s="27" t="s">
        <v>108</v>
      </c>
      <c r="I239" s="27" t="s">
        <v>1534</v>
      </c>
      <c r="J239" s="27" t="s">
        <v>108</v>
      </c>
      <c r="K239" s="27" t="s">
        <v>1535</v>
      </c>
      <c r="L239" s="27" t="s">
        <v>1536</v>
      </c>
      <c r="M239" s="28" t="s">
        <v>14</v>
      </c>
      <c r="N239" s="27" t="s">
        <v>1884</v>
      </c>
      <c r="O239" s="27" t="s">
        <v>112</v>
      </c>
      <c r="P239" s="29" t="s">
        <v>113</v>
      </c>
      <c r="Q239" s="27" t="s">
        <v>121</v>
      </c>
    </row>
    <row r="240" spans="1:17" x14ac:dyDescent="0.25">
      <c r="A240" s="23" t="s">
        <v>2122</v>
      </c>
      <c r="B240" s="24" t="s">
        <v>51</v>
      </c>
      <c r="C240" s="24" t="s">
        <v>1084</v>
      </c>
      <c r="D240" s="24" t="s">
        <v>133</v>
      </c>
      <c r="E240" s="25" t="s">
        <v>103</v>
      </c>
      <c r="F240" s="26" t="s">
        <v>104</v>
      </c>
      <c r="G240" s="24" t="s">
        <v>1538</v>
      </c>
      <c r="H240" s="24" t="s">
        <v>507</v>
      </c>
      <c r="I240" s="24" t="s">
        <v>1539</v>
      </c>
      <c r="J240" s="24" t="s">
        <v>108</v>
      </c>
      <c r="K240" s="24" t="s">
        <v>1540</v>
      </c>
      <c r="L240" s="27" t="s">
        <v>1541</v>
      </c>
      <c r="M240" s="28" t="s">
        <v>14</v>
      </c>
      <c r="N240" s="27" t="s">
        <v>1884</v>
      </c>
      <c r="O240" s="27" t="s">
        <v>112</v>
      </c>
      <c r="P240" s="29" t="s">
        <v>113</v>
      </c>
      <c r="Q240" s="27" t="s">
        <v>121</v>
      </c>
    </row>
    <row r="241" spans="1:17" x14ac:dyDescent="0.25">
      <c r="A241" s="30" t="s">
        <v>2123</v>
      </c>
      <c r="B241" s="27" t="s">
        <v>51</v>
      </c>
      <c r="C241" s="27" t="s">
        <v>866</v>
      </c>
      <c r="D241" s="27" t="s">
        <v>133</v>
      </c>
      <c r="E241" s="28" t="s">
        <v>103</v>
      </c>
      <c r="F241" s="36" t="s">
        <v>104</v>
      </c>
      <c r="G241" s="27" t="s">
        <v>1543</v>
      </c>
      <c r="H241" s="27" t="s">
        <v>108</v>
      </c>
      <c r="I241" s="27" t="s">
        <v>1544</v>
      </c>
      <c r="J241" s="27" t="s">
        <v>108</v>
      </c>
      <c r="K241" s="27" t="s">
        <v>1545</v>
      </c>
      <c r="L241" s="27" t="s">
        <v>1546</v>
      </c>
      <c r="M241" s="28" t="s">
        <v>14</v>
      </c>
      <c r="N241" s="27" t="s">
        <v>1884</v>
      </c>
      <c r="O241" s="27" t="s">
        <v>112</v>
      </c>
      <c r="P241" s="29" t="s">
        <v>113</v>
      </c>
      <c r="Q241" s="27" t="s">
        <v>121</v>
      </c>
    </row>
    <row r="242" spans="1:17" x14ac:dyDescent="0.25">
      <c r="A242" s="23" t="s">
        <v>2124</v>
      </c>
      <c r="B242" s="24" t="s">
        <v>51</v>
      </c>
      <c r="C242" s="24" t="s">
        <v>866</v>
      </c>
      <c r="D242" s="24" t="s">
        <v>133</v>
      </c>
      <c r="E242" s="25" t="s">
        <v>167</v>
      </c>
      <c r="F242" s="26" t="s">
        <v>104</v>
      </c>
      <c r="G242" s="24" t="s">
        <v>1548</v>
      </c>
      <c r="H242" s="24" t="s">
        <v>108</v>
      </c>
      <c r="I242" s="24" t="s">
        <v>1549</v>
      </c>
      <c r="J242" s="24" t="s">
        <v>108</v>
      </c>
      <c r="K242" s="24" t="s">
        <v>1550</v>
      </c>
      <c r="L242" s="27" t="s">
        <v>1551</v>
      </c>
      <c r="M242" s="28" t="s">
        <v>14</v>
      </c>
      <c r="N242" s="27" t="s">
        <v>1884</v>
      </c>
      <c r="O242" s="27" t="s">
        <v>112</v>
      </c>
      <c r="P242" s="29" t="s">
        <v>113</v>
      </c>
      <c r="Q242" s="27" t="s">
        <v>121</v>
      </c>
    </row>
    <row r="243" spans="1:17" x14ac:dyDescent="0.25">
      <c r="A243" s="30" t="s">
        <v>2125</v>
      </c>
      <c r="B243" s="27" t="s">
        <v>51</v>
      </c>
      <c r="C243" s="27" t="s">
        <v>866</v>
      </c>
      <c r="D243" s="27" t="s">
        <v>133</v>
      </c>
      <c r="E243" s="28" t="s">
        <v>167</v>
      </c>
      <c r="F243" s="31" t="s">
        <v>116</v>
      </c>
      <c r="G243" s="27" t="s">
        <v>1553</v>
      </c>
      <c r="H243" s="27" t="s">
        <v>1554</v>
      </c>
      <c r="I243" s="27" t="s">
        <v>885</v>
      </c>
      <c r="J243" s="27" t="s">
        <v>108</v>
      </c>
      <c r="K243" s="27" t="s">
        <v>886</v>
      </c>
      <c r="L243" s="27" t="s">
        <v>887</v>
      </c>
      <c r="M243" s="28" t="s">
        <v>14</v>
      </c>
      <c r="N243" s="27" t="s">
        <v>1884</v>
      </c>
      <c r="O243" s="27" t="s">
        <v>112</v>
      </c>
      <c r="P243" s="29" t="s">
        <v>113</v>
      </c>
      <c r="Q243" s="27" t="s">
        <v>121</v>
      </c>
    </row>
    <row r="244" spans="1:17" x14ac:dyDescent="0.25">
      <c r="A244" s="23" t="s">
        <v>2126</v>
      </c>
      <c r="B244" s="24" t="s">
        <v>51</v>
      </c>
      <c r="C244" s="24" t="s">
        <v>1556</v>
      </c>
      <c r="D244" s="24" t="s">
        <v>133</v>
      </c>
      <c r="E244" s="25" t="s">
        <v>103</v>
      </c>
      <c r="F244" s="26" t="s">
        <v>104</v>
      </c>
      <c r="G244" s="24" t="s">
        <v>1557</v>
      </c>
      <c r="H244" s="24" t="s">
        <v>108</v>
      </c>
      <c r="I244" s="24" t="s">
        <v>1558</v>
      </c>
      <c r="J244" s="24" t="s">
        <v>1559</v>
      </c>
      <c r="K244" s="24" t="s">
        <v>1560</v>
      </c>
      <c r="L244" s="27" t="s">
        <v>1561</v>
      </c>
      <c r="M244" s="28" t="s">
        <v>14</v>
      </c>
      <c r="N244" s="27" t="s">
        <v>1884</v>
      </c>
      <c r="O244" s="27" t="s">
        <v>112</v>
      </c>
      <c r="P244" s="29" t="s">
        <v>113</v>
      </c>
      <c r="Q244" s="27" t="s">
        <v>121</v>
      </c>
    </row>
    <row r="245" spans="1:17" x14ac:dyDescent="0.25">
      <c r="A245" s="30" t="s">
        <v>2127</v>
      </c>
      <c r="B245" s="27" t="s">
        <v>51</v>
      </c>
      <c r="C245" s="27" t="s">
        <v>1014</v>
      </c>
      <c r="D245" s="27" t="s">
        <v>234</v>
      </c>
      <c r="E245" s="28" t="s">
        <v>103</v>
      </c>
      <c r="F245" s="31" t="s">
        <v>116</v>
      </c>
      <c r="G245" s="27" t="s">
        <v>1563</v>
      </c>
      <c r="H245" s="27" t="s">
        <v>108</v>
      </c>
      <c r="I245" s="27" t="s">
        <v>1564</v>
      </c>
      <c r="J245" s="27" t="s">
        <v>108</v>
      </c>
      <c r="K245" s="27" t="s">
        <v>1565</v>
      </c>
      <c r="L245" s="27" t="s">
        <v>1566</v>
      </c>
      <c r="M245" s="28" t="s">
        <v>14</v>
      </c>
      <c r="N245" s="27" t="s">
        <v>1884</v>
      </c>
      <c r="O245" s="27" t="s">
        <v>112</v>
      </c>
      <c r="P245" s="29" t="s">
        <v>113</v>
      </c>
      <c r="Q245" s="27" t="s">
        <v>121</v>
      </c>
    </row>
    <row r="246" spans="1:17" x14ac:dyDescent="0.25">
      <c r="A246" s="23" t="s">
        <v>2128</v>
      </c>
      <c r="B246" s="24" t="s">
        <v>51</v>
      </c>
      <c r="C246" s="24" t="s">
        <v>1568</v>
      </c>
      <c r="D246" s="24" t="s">
        <v>133</v>
      </c>
      <c r="E246" s="25" t="s">
        <v>167</v>
      </c>
      <c r="F246" s="26" t="s">
        <v>104</v>
      </c>
      <c r="G246" s="24" t="s">
        <v>1569</v>
      </c>
      <c r="H246" s="24" t="s">
        <v>108</v>
      </c>
      <c r="I246" s="24" t="s">
        <v>1570</v>
      </c>
      <c r="J246" s="24" t="s">
        <v>108</v>
      </c>
      <c r="K246" s="24" t="s">
        <v>1571</v>
      </c>
      <c r="L246" s="27" t="s">
        <v>1572</v>
      </c>
      <c r="M246" s="28" t="s">
        <v>14</v>
      </c>
      <c r="N246" s="27" t="s">
        <v>1884</v>
      </c>
      <c r="O246" s="27" t="s">
        <v>112</v>
      </c>
      <c r="P246" s="29" t="s">
        <v>113</v>
      </c>
      <c r="Q246" s="27" t="s">
        <v>121</v>
      </c>
    </row>
    <row r="247" spans="1:17" x14ac:dyDescent="0.25">
      <c r="A247" s="30" t="s">
        <v>2129</v>
      </c>
      <c r="B247" s="27" t="s">
        <v>51</v>
      </c>
      <c r="C247" s="27" t="s">
        <v>1568</v>
      </c>
      <c r="D247" s="27" t="s">
        <v>133</v>
      </c>
      <c r="E247" s="28" t="s">
        <v>167</v>
      </c>
      <c r="F247" s="36" t="s">
        <v>104</v>
      </c>
      <c r="G247" s="27" t="s">
        <v>1574</v>
      </c>
      <c r="H247" s="27" t="s">
        <v>108</v>
      </c>
      <c r="I247" s="27" t="s">
        <v>1575</v>
      </c>
      <c r="J247" s="27" t="s">
        <v>108</v>
      </c>
      <c r="K247" s="27" t="s">
        <v>1576</v>
      </c>
      <c r="L247" s="27" t="s">
        <v>1577</v>
      </c>
      <c r="M247" s="28" t="s">
        <v>14</v>
      </c>
      <c r="N247" s="27" t="s">
        <v>1884</v>
      </c>
      <c r="O247" s="27" t="s">
        <v>112</v>
      </c>
      <c r="P247" s="29" t="s">
        <v>113</v>
      </c>
      <c r="Q247" s="27" t="s">
        <v>121</v>
      </c>
    </row>
    <row r="248" spans="1:17" x14ac:dyDescent="0.25">
      <c r="A248" s="23" t="s">
        <v>2130</v>
      </c>
      <c r="B248" s="24" t="s">
        <v>51</v>
      </c>
      <c r="C248" s="24" t="s">
        <v>1568</v>
      </c>
      <c r="D248" s="24" t="s">
        <v>133</v>
      </c>
      <c r="E248" s="25" t="s">
        <v>167</v>
      </c>
      <c r="F248" s="26" t="s">
        <v>104</v>
      </c>
      <c r="G248" s="24" t="s">
        <v>1579</v>
      </c>
      <c r="H248" s="24" t="s">
        <v>108</v>
      </c>
      <c r="I248" s="24" t="s">
        <v>1580</v>
      </c>
      <c r="J248" s="24" t="s">
        <v>108</v>
      </c>
      <c r="K248" s="24" t="s">
        <v>1581</v>
      </c>
      <c r="L248" s="27" t="s">
        <v>1582</v>
      </c>
      <c r="M248" s="28" t="s">
        <v>14</v>
      </c>
      <c r="N248" s="27" t="s">
        <v>1884</v>
      </c>
      <c r="O248" s="27" t="s">
        <v>112</v>
      </c>
      <c r="P248" s="29" t="s">
        <v>113</v>
      </c>
      <c r="Q248" s="27" t="s">
        <v>121</v>
      </c>
    </row>
    <row r="249" spans="1:17" x14ac:dyDescent="0.25">
      <c r="A249" s="30" t="s">
        <v>2131</v>
      </c>
      <c r="B249" s="27" t="s">
        <v>51</v>
      </c>
      <c r="C249" s="27" t="s">
        <v>1568</v>
      </c>
      <c r="D249" s="27" t="s">
        <v>133</v>
      </c>
      <c r="E249" s="28" t="s">
        <v>103</v>
      </c>
      <c r="F249" s="35" t="s">
        <v>194</v>
      </c>
      <c r="G249" s="27" t="s">
        <v>1584</v>
      </c>
      <c r="H249" s="27" t="s">
        <v>108</v>
      </c>
      <c r="I249" s="27" t="s">
        <v>1585</v>
      </c>
      <c r="J249" s="27" t="s">
        <v>108</v>
      </c>
      <c r="K249" s="27" t="s">
        <v>1586</v>
      </c>
      <c r="L249" s="27" t="s">
        <v>1587</v>
      </c>
      <c r="M249" s="28" t="s">
        <v>14</v>
      </c>
      <c r="N249" s="27" t="s">
        <v>1884</v>
      </c>
      <c r="O249" s="27" t="s">
        <v>112</v>
      </c>
      <c r="P249" s="29" t="s">
        <v>113</v>
      </c>
      <c r="Q249" s="27" t="s">
        <v>121</v>
      </c>
    </row>
    <row r="250" spans="1:17" x14ac:dyDescent="0.25">
      <c r="A250" s="23" t="s">
        <v>2132</v>
      </c>
      <c r="B250" s="24" t="s">
        <v>52</v>
      </c>
      <c r="C250" s="24" t="s">
        <v>1589</v>
      </c>
      <c r="D250" s="24" t="s">
        <v>133</v>
      </c>
      <c r="E250" s="25" t="s">
        <v>103</v>
      </c>
      <c r="F250" s="26" t="s">
        <v>104</v>
      </c>
      <c r="G250" s="24" t="s">
        <v>1590</v>
      </c>
      <c r="H250" s="24" t="s">
        <v>1591</v>
      </c>
      <c r="I250" s="24" t="s">
        <v>1592</v>
      </c>
      <c r="J250" s="24" t="s">
        <v>108</v>
      </c>
      <c r="K250" s="24" t="s">
        <v>1593</v>
      </c>
      <c r="L250" s="27" t="s">
        <v>1594</v>
      </c>
      <c r="M250" s="28" t="s">
        <v>14</v>
      </c>
      <c r="N250" s="27" t="s">
        <v>1884</v>
      </c>
      <c r="O250" s="27" t="s">
        <v>112</v>
      </c>
      <c r="P250" s="29" t="s">
        <v>113</v>
      </c>
      <c r="Q250" s="27" t="s">
        <v>121</v>
      </c>
    </row>
    <row r="251" spans="1:17" x14ac:dyDescent="0.25">
      <c r="A251" s="30" t="s">
        <v>2133</v>
      </c>
      <c r="B251" s="27" t="s">
        <v>52</v>
      </c>
      <c r="C251" s="27" t="s">
        <v>1589</v>
      </c>
      <c r="D251" s="27" t="s">
        <v>133</v>
      </c>
      <c r="E251" s="28" t="s">
        <v>103</v>
      </c>
      <c r="F251" s="31" t="s">
        <v>116</v>
      </c>
      <c r="G251" s="27" t="s">
        <v>1596</v>
      </c>
      <c r="H251" s="27" t="s">
        <v>108</v>
      </c>
      <c r="I251" s="27" t="s">
        <v>1597</v>
      </c>
      <c r="J251" s="27" t="s">
        <v>108</v>
      </c>
      <c r="K251" s="27" t="s">
        <v>1598</v>
      </c>
      <c r="L251" s="27" t="s">
        <v>1599</v>
      </c>
      <c r="M251" s="28" t="s">
        <v>14</v>
      </c>
      <c r="N251" s="27" t="s">
        <v>1884</v>
      </c>
      <c r="O251" s="27" t="s">
        <v>112</v>
      </c>
      <c r="P251" s="29" t="s">
        <v>113</v>
      </c>
      <c r="Q251" s="27" t="s">
        <v>121</v>
      </c>
    </row>
    <row r="252" spans="1:17" x14ac:dyDescent="0.25">
      <c r="A252" s="23" t="s">
        <v>2134</v>
      </c>
      <c r="B252" s="24" t="s">
        <v>52</v>
      </c>
      <c r="C252" s="24" t="s">
        <v>1589</v>
      </c>
      <c r="D252" s="24" t="s">
        <v>133</v>
      </c>
      <c r="E252" s="25" t="s">
        <v>103</v>
      </c>
      <c r="F252" s="32" t="s">
        <v>134</v>
      </c>
      <c r="G252" s="24" t="s">
        <v>1368</v>
      </c>
      <c r="H252" s="24" t="s">
        <v>1601</v>
      </c>
      <c r="I252" s="24" t="s">
        <v>1602</v>
      </c>
      <c r="J252" s="24" t="s">
        <v>108</v>
      </c>
      <c r="K252" s="24" t="s">
        <v>1603</v>
      </c>
      <c r="L252" s="27" t="s">
        <v>1604</v>
      </c>
      <c r="M252" s="28" t="s">
        <v>14</v>
      </c>
      <c r="N252" s="27" t="s">
        <v>1884</v>
      </c>
      <c r="O252" s="27" t="s">
        <v>112</v>
      </c>
      <c r="P252" s="29" t="s">
        <v>113</v>
      </c>
      <c r="Q252" s="27" t="s">
        <v>121</v>
      </c>
    </row>
    <row r="253" spans="1:17" x14ac:dyDescent="0.25">
      <c r="A253" s="30" t="s">
        <v>2135</v>
      </c>
      <c r="B253" s="27" t="s">
        <v>52</v>
      </c>
      <c r="C253" s="27" t="s">
        <v>1589</v>
      </c>
      <c r="D253" s="27" t="s">
        <v>133</v>
      </c>
      <c r="E253" s="28" t="s">
        <v>103</v>
      </c>
      <c r="F253" s="33" t="s">
        <v>134</v>
      </c>
      <c r="G253" s="27" t="s">
        <v>1606</v>
      </c>
      <c r="H253" s="27" t="s">
        <v>108</v>
      </c>
      <c r="I253" s="27" t="s">
        <v>1607</v>
      </c>
      <c r="J253" s="27" t="s">
        <v>108</v>
      </c>
      <c r="K253" s="27" t="s">
        <v>1608</v>
      </c>
      <c r="L253" s="27" t="s">
        <v>1609</v>
      </c>
      <c r="M253" s="28" t="s">
        <v>14</v>
      </c>
      <c r="N253" s="27" t="s">
        <v>1884</v>
      </c>
      <c r="O253" s="27" t="s">
        <v>112</v>
      </c>
      <c r="P253" s="29" t="s">
        <v>113</v>
      </c>
      <c r="Q253" s="27" t="s">
        <v>121</v>
      </c>
    </row>
    <row r="254" spans="1:17" x14ac:dyDescent="0.25">
      <c r="A254" s="23" t="s">
        <v>2136</v>
      </c>
      <c r="B254" s="24" t="s">
        <v>52</v>
      </c>
      <c r="C254" s="24" t="s">
        <v>742</v>
      </c>
      <c r="D254" s="24" t="s">
        <v>193</v>
      </c>
      <c r="E254" s="25" t="s">
        <v>103</v>
      </c>
      <c r="F254" s="26" t="s">
        <v>104</v>
      </c>
      <c r="G254" s="24" t="s">
        <v>1611</v>
      </c>
      <c r="H254" s="24" t="s">
        <v>539</v>
      </c>
      <c r="I254" s="24" t="s">
        <v>1612</v>
      </c>
      <c r="J254" s="24" t="s">
        <v>108</v>
      </c>
      <c r="K254" s="24" t="s">
        <v>1613</v>
      </c>
      <c r="L254" s="27" t="s">
        <v>1614</v>
      </c>
      <c r="M254" s="28" t="s">
        <v>14</v>
      </c>
      <c r="N254" s="27" t="s">
        <v>1884</v>
      </c>
      <c r="O254" s="27" t="s">
        <v>112</v>
      </c>
      <c r="P254" s="29" t="s">
        <v>113</v>
      </c>
      <c r="Q254" s="27" t="s">
        <v>121</v>
      </c>
    </row>
    <row r="255" spans="1:17" x14ac:dyDescent="0.25">
      <c r="A255" s="30" t="s">
        <v>2137</v>
      </c>
      <c r="B255" s="27" t="s">
        <v>52</v>
      </c>
      <c r="C255" s="27" t="s">
        <v>742</v>
      </c>
      <c r="D255" s="27" t="s">
        <v>193</v>
      </c>
      <c r="E255" s="28" t="s">
        <v>103</v>
      </c>
      <c r="F255" s="31" t="s">
        <v>116</v>
      </c>
      <c r="G255" s="27" t="s">
        <v>1616</v>
      </c>
      <c r="H255" s="27" t="s">
        <v>539</v>
      </c>
      <c r="I255" s="27" t="s">
        <v>1617</v>
      </c>
      <c r="J255" s="27" t="s">
        <v>108</v>
      </c>
      <c r="K255" s="27" t="s">
        <v>1618</v>
      </c>
      <c r="L255" s="27" t="s">
        <v>1619</v>
      </c>
      <c r="M255" s="28" t="s">
        <v>14</v>
      </c>
      <c r="N255" s="27" t="s">
        <v>1884</v>
      </c>
      <c r="O255" s="27" t="s">
        <v>112</v>
      </c>
      <c r="P255" s="29" t="s">
        <v>113</v>
      </c>
      <c r="Q255" s="27" t="s">
        <v>121</v>
      </c>
    </row>
    <row r="256" spans="1:17" x14ac:dyDescent="0.25">
      <c r="A256" s="23" t="s">
        <v>2138</v>
      </c>
      <c r="B256" s="24" t="s">
        <v>52</v>
      </c>
      <c r="C256" s="24" t="s">
        <v>1621</v>
      </c>
      <c r="D256" s="24" t="s">
        <v>193</v>
      </c>
      <c r="E256" s="25" t="s">
        <v>103</v>
      </c>
      <c r="F256" s="34" t="s">
        <v>116</v>
      </c>
      <c r="G256" s="24" t="s">
        <v>1622</v>
      </c>
      <c r="H256" s="24" t="s">
        <v>108</v>
      </c>
      <c r="I256" s="24" t="s">
        <v>1623</v>
      </c>
      <c r="J256" s="24" t="s">
        <v>108</v>
      </c>
      <c r="K256" s="24" t="s">
        <v>1624</v>
      </c>
      <c r="L256" s="27" t="s">
        <v>1625</v>
      </c>
      <c r="M256" s="28" t="s">
        <v>14</v>
      </c>
      <c r="N256" s="27" t="s">
        <v>1884</v>
      </c>
      <c r="O256" s="27" t="s">
        <v>112</v>
      </c>
      <c r="P256" s="29" t="s">
        <v>113</v>
      </c>
      <c r="Q256" s="27" t="s">
        <v>121</v>
      </c>
    </row>
    <row r="257" spans="1:17" x14ac:dyDescent="0.25">
      <c r="A257" s="30" t="s">
        <v>2139</v>
      </c>
      <c r="B257" s="27" t="s">
        <v>53</v>
      </c>
      <c r="C257" s="27" t="s">
        <v>1084</v>
      </c>
      <c r="D257" s="27" t="s">
        <v>193</v>
      </c>
      <c r="E257" s="28" t="s">
        <v>103</v>
      </c>
      <c r="F257" s="36" t="s">
        <v>104</v>
      </c>
      <c r="G257" s="27" t="s">
        <v>1627</v>
      </c>
      <c r="H257" s="27" t="s">
        <v>539</v>
      </c>
      <c r="I257" s="27" t="s">
        <v>1628</v>
      </c>
      <c r="J257" s="27" t="s">
        <v>108</v>
      </c>
      <c r="K257" s="27" t="s">
        <v>1629</v>
      </c>
      <c r="L257" s="27" t="s">
        <v>1630</v>
      </c>
      <c r="M257" s="28" t="s">
        <v>14</v>
      </c>
      <c r="N257" s="27" t="s">
        <v>1884</v>
      </c>
      <c r="O257" s="27" t="s">
        <v>112</v>
      </c>
      <c r="P257" s="29" t="s">
        <v>113</v>
      </c>
      <c r="Q257" s="27" t="s">
        <v>121</v>
      </c>
    </row>
    <row r="258" spans="1:17" x14ac:dyDescent="0.25">
      <c r="A258" s="23" t="s">
        <v>2140</v>
      </c>
      <c r="B258" s="24" t="s">
        <v>53</v>
      </c>
      <c r="C258" s="24" t="s">
        <v>1084</v>
      </c>
      <c r="D258" s="24" t="s">
        <v>1027</v>
      </c>
      <c r="E258" s="25" t="s">
        <v>103</v>
      </c>
      <c r="F258" s="26" t="s">
        <v>104</v>
      </c>
      <c r="G258" s="24" t="s">
        <v>1632</v>
      </c>
      <c r="H258" s="24" t="s">
        <v>1029</v>
      </c>
      <c r="I258" s="24" t="s">
        <v>1633</v>
      </c>
      <c r="J258" s="24" t="s">
        <v>108</v>
      </c>
      <c r="K258" s="24" t="s">
        <v>1634</v>
      </c>
      <c r="L258" s="27" t="s">
        <v>1635</v>
      </c>
      <c r="M258" s="28" t="s">
        <v>14</v>
      </c>
      <c r="N258" s="27" t="s">
        <v>1884</v>
      </c>
      <c r="O258" s="27" t="s">
        <v>112</v>
      </c>
      <c r="P258" s="29" t="s">
        <v>113</v>
      </c>
      <c r="Q258" s="27" t="s">
        <v>121</v>
      </c>
    </row>
    <row r="259" spans="1:17" x14ac:dyDescent="0.25">
      <c r="A259" s="30" t="s">
        <v>2141</v>
      </c>
      <c r="B259" s="27" t="s">
        <v>53</v>
      </c>
      <c r="C259" s="27" t="s">
        <v>1084</v>
      </c>
      <c r="D259" s="27" t="s">
        <v>636</v>
      </c>
      <c r="E259" s="28" t="s">
        <v>103</v>
      </c>
      <c r="F259" s="36" t="s">
        <v>104</v>
      </c>
      <c r="G259" s="27" t="s">
        <v>1637</v>
      </c>
      <c r="H259" s="27" t="s">
        <v>1638</v>
      </c>
      <c r="I259" s="27" t="s">
        <v>1628</v>
      </c>
      <c r="J259" s="27" t="s">
        <v>108</v>
      </c>
      <c r="K259" s="27" t="s">
        <v>1639</v>
      </c>
      <c r="L259" s="27" t="s">
        <v>1640</v>
      </c>
      <c r="M259" s="28" t="s">
        <v>14</v>
      </c>
      <c r="N259" s="27" t="s">
        <v>1884</v>
      </c>
      <c r="O259" s="27" t="s">
        <v>112</v>
      </c>
      <c r="P259" s="29" t="s">
        <v>113</v>
      </c>
      <c r="Q259" s="27" t="s">
        <v>121</v>
      </c>
    </row>
    <row r="260" spans="1:17" x14ac:dyDescent="0.25">
      <c r="A260" s="23" t="s">
        <v>2142</v>
      </c>
      <c r="B260" s="24" t="s">
        <v>53</v>
      </c>
      <c r="C260" s="24" t="s">
        <v>1084</v>
      </c>
      <c r="D260" s="24" t="s">
        <v>234</v>
      </c>
      <c r="E260" s="25" t="s">
        <v>103</v>
      </c>
      <c r="F260" s="26" t="s">
        <v>104</v>
      </c>
      <c r="G260" s="24" t="s">
        <v>1642</v>
      </c>
      <c r="H260" s="24" t="s">
        <v>1643</v>
      </c>
      <c r="I260" s="24" t="s">
        <v>1628</v>
      </c>
      <c r="J260" s="24" t="s">
        <v>108</v>
      </c>
      <c r="K260" s="24" t="s">
        <v>1644</v>
      </c>
      <c r="L260" s="27" t="s">
        <v>1645</v>
      </c>
      <c r="M260" s="28" t="s">
        <v>14</v>
      </c>
      <c r="N260" s="27" t="s">
        <v>1884</v>
      </c>
      <c r="O260" s="27" t="s">
        <v>112</v>
      </c>
      <c r="P260" s="29" t="s">
        <v>113</v>
      </c>
      <c r="Q260" s="27" t="s">
        <v>121</v>
      </c>
    </row>
    <row r="261" spans="1:17" x14ac:dyDescent="0.25">
      <c r="A261" s="30" t="s">
        <v>2143</v>
      </c>
      <c r="B261" s="27" t="s">
        <v>53</v>
      </c>
      <c r="C261" s="27" t="s">
        <v>1647</v>
      </c>
      <c r="D261" s="27" t="s">
        <v>133</v>
      </c>
      <c r="E261" s="28" t="s">
        <v>103</v>
      </c>
      <c r="F261" s="35" t="s">
        <v>194</v>
      </c>
      <c r="G261" s="27" t="s">
        <v>1648</v>
      </c>
      <c r="H261" s="27" t="s">
        <v>1649</v>
      </c>
      <c r="I261" s="27" t="s">
        <v>1650</v>
      </c>
      <c r="J261" s="27" t="s">
        <v>108</v>
      </c>
      <c r="K261" s="27" t="s">
        <v>1651</v>
      </c>
      <c r="L261" s="27" t="s">
        <v>1652</v>
      </c>
      <c r="M261" s="28" t="s">
        <v>14</v>
      </c>
      <c r="N261" s="27" t="s">
        <v>1884</v>
      </c>
      <c r="O261" s="27" t="s">
        <v>112</v>
      </c>
      <c r="P261" s="29" t="s">
        <v>113</v>
      </c>
      <c r="Q261" s="27" t="s">
        <v>121</v>
      </c>
    </row>
    <row r="262" spans="1:17" x14ac:dyDescent="0.25">
      <c r="A262" s="23" t="s">
        <v>2144</v>
      </c>
      <c r="B262" s="24" t="s">
        <v>53</v>
      </c>
      <c r="C262" s="24" t="s">
        <v>1654</v>
      </c>
      <c r="D262" s="24" t="s">
        <v>133</v>
      </c>
      <c r="E262" s="25" t="s">
        <v>103</v>
      </c>
      <c r="F262" s="34" t="s">
        <v>116</v>
      </c>
      <c r="G262" s="24" t="s">
        <v>1655</v>
      </c>
      <c r="H262" s="24" t="s">
        <v>108</v>
      </c>
      <c r="I262" s="24" t="s">
        <v>1656</v>
      </c>
      <c r="J262" s="24" t="s">
        <v>108</v>
      </c>
      <c r="K262" s="24" t="s">
        <v>1396</v>
      </c>
      <c r="L262" s="27" t="s">
        <v>1397</v>
      </c>
      <c r="M262" s="28" t="s">
        <v>14</v>
      </c>
      <c r="N262" s="27" t="s">
        <v>1884</v>
      </c>
      <c r="O262" s="27" t="s">
        <v>112</v>
      </c>
      <c r="P262" s="29" t="s">
        <v>113</v>
      </c>
      <c r="Q262" s="27" t="s">
        <v>121</v>
      </c>
    </row>
    <row r="263" spans="1:17" x14ac:dyDescent="0.25">
      <c r="A263" s="30" t="s">
        <v>2145</v>
      </c>
      <c r="B263" s="27" t="s">
        <v>53</v>
      </c>
      <c r="C263" s="27" t="s">
        <v>1654</v>
      </c>
      <c r="D263" s="27" t="s">
        <v>133</v>
      </c>
      <c r="E263" s="28" t="s">
        <v>103</v>
      </c>
      <c r="F263" s="31" t="s">
        <v>116</v>
      </c>
      <c r="G263" s="27" t="s">
        <v>1658</v>
      </c>
      <c r="H263" s="27" t="s">
        <v>108</v>
      </c>
      <c r="I263" s="27" t="s">
        <v>1659</v>
      </c>
      <c r="J263" s="27" t="s">
        <v>108</v>
      </c>
      <c r="K263" s="27" t="s">
        <v>1660</v>
      </c>
      <c r="L263" s="27" t="s">
        <v>1661</v>
      </c>
      <c r="M263" s="28" t="s">
        <v>14</v>
      </c>
      <c r="N263" s="27" t="s">
        <v>1884</v>
      </c>
      <c r="O263" s="27" t="s">
        <v>112</v>
      </c>
      <c r="P263" s="29" t="s">
        <v>113</v>
      </c>
      <c r="Q263" s="27" t="s">
        <v>121</v>
      </c>
    </row>
    <row r="264" spans="1:17" x14ac:dyDescent="0.25">
      <c r="A264" s="23" t="s">
        <v>2146</v>
      </c>
      <c r="B264" s="24" t="s">
        <v>53</v>
      </c>
      <c r="C264" s="24" t="s">
        <v>1654</v>
      </c>
      <c r="D264" s="24" t="s">
        <v>234</v>
      </c>
      <c r="E264" s="25" t="s">
        <v>103</v>
      </c>
      <c r="F264" s="34" t="s">
        <v>116</v>
      </c>
      <c r="G264" s="24" t="s">
        <v>1663</v>
      </c>
      <c r="H264" s="24" t="s">
        <v>108</v>
      </c>
      <c r="I264" s="24" t="s">
        <v>1664</v>
      </c>
      <c r="J264" s="24" t="s">
        <v>108</v>
      </c>
      <c r="K264" s="24" t="s">
        <v>1665</v>
      </c>
      <c r="L264" s="27" t="s">
        <v>1666</v>
      </c>
      <c r="M264" s="28" t="s">
        <v>14</v>
      </c>
      <c r="N264" s="27" t="s">
        <v>1884</v>
      </c>
      <c r="O264" s="27" t="s">
        <v>112</v>
      </c>
      <c r="P264" s="29" t="s">
        <v>113</v>
      </c>
      <c r="Q264" s="27" t="s">
        <v>121</v>
      </c>
    </row>
    <row r="265" spans="1:17" x14ac:dyDescent="0.25">
      <c r="A265" s="30" t="s">
        <v>2147</v>
      </c>
      <c r="B265" s="27" t="s">
        <v>53</v>
      </c>
      <c r="C265" s="27" t="s">
        <v>995</v>
      </c>
      <c r="D265" s="27" t="s">
        <v>133</v>
      </c>
      <c r="E265" s="28" t="s">
        <v>103</v>
      </c>
      <c r="F265" s="36" t="s">
        <v>104</v>
      </c>
      <c r="G265" s="27" t="s">
        <v>1668</v>
      </c>
      <c r="H265" s="27" t="s">
        <v>108</v>
      </c>
      <c r="I265" s="27" t="s">
        <v>1669</v>
      </c>
      <c r="J265" s="27" t="s">
        <v>108</v>
      </c>
      <c r="K265" s="27" t="s">
        <v>1670</v>
      </c>
      <c r="L265" s="27" t="s">
        <v>1671</v>
      </c>
      <c r="M265" s="28" t="s">
        <v>14</v>
      </c>
      <c r="N265" s="27" t="s">
        <v>1884</v>
      </c>
      <c r="O265" s="27" t="s">
        <v>112</v>
      </c>
      <c r="P265" s="29" t="s">
        <v>113</v>
      </c>
      <c r="Q265" s="27" t="s">
        <v>121</v>
      </c>
    </row>
    <row r="266" spans="1:17" x14ac:dyDescent="0.25">
      <c r="A266" s="23" t="s">
        <v>2148</v>
      </c>
      <c r="B266" s="24" t="s">
        <v>53</v>
      </c>
      <c r="C266" s="24" t="s">
        <v>1673</v>
      </c>
      <c r="D266" s="24" t="s">
        <v>133</v>
      </c>
      <c r="E266" s="25" t="s">
        <v>103</v>
      </c>
      <c r="F266" s="34" t="s">
        <v>116</v>
      </c>
      <c r="G266" s="24" t="s">
        <v>1674</v>
      </c>
      <c r="H266" s="24" t="s">
        <v>108</v>
      </c>
      <c r="I266" s="24" t="s">
        <v>1675</v>
      </c>
      <c r="J266" s="24" t="s">
        <v>108</v>
      </c>
      <c r="K266" s="24" t="s">
        <v>1676</v>
      </c>
      <c r="L266" s="27" t="s">
        <v>1677</v>
      </c>
      <c r="M266" s="28" t="s">
        <v>14</v>
      </c>
      <c r="N266" s="27" t="s">
        <v>1884</v>
      </c>
      <c r="O266" s="27" t="s">
        <v>112</v>
      </c>
      <c r="P266" s="29" t="s">
        <v>113</v>
      </c>
      <c r="Q266" s="27" t="s">
        <v>121</v>
      </c>
    </row>
    <row r="267" spans="1:17" x14ac:dyDescent="0.25">
      <c r="A267" s="30" t="s">
        <v>2149</v>
      </c>
      <c r="B267" s="27" t="s">
        <v>53</v>
      </c>
      <c r="C267" s="27" t="s">
        <v>531</v>
      </c>
      <c r="D267" s="27" t="s">
        <v>133</v>
      </c>
      <c r="E267" s="28" t="s">
        <v>103</v>
      </c>
      <c r="F267" s="33" t="s">
        <v>134</v>
      </c>
      <c r="G267" s="27" t="s">
        <v>1679</v>
      </c>
      <c r="H267" s="27" t="s">
        <v>108</v>
      </c>
      <c r="I267" s="27" t="s">
        <v>1680</v>
      </c>
      <c r="J267" s="27" t="s">
        <v>108</v>
      </c>
      <c r="K267" s="27" t="s">
        <v>1681</v>
      </c>
      <c r="L267" s="27" t="s">
        <v>1682</v>
      </c>
      <c r="M267" s="28" t="s">
        <v>14</v>
      </c>
      <c r="N267" s="27" t="s">
        <v>1884</v>
      </c>
      <c r="O267" s="27" t="s">
        <v>112</v>
      </c>
      <c r="P267" s="29" t="s">
        <v>113</v>
      </c>
      <c r="Q267" s="27" t="s">
        <v>121</v>
      </c>
    </row>
    <row r="268" spans="1:17" x14ac:dyDescent="0.25">
      <c r="A268" s="23" t="s">
        <v>2150</v>
      </c>
      <c r="B268" s="24" t="s">
        <v>53</v>
      </c>
      <c r="C268" s="24" t="s">
        <v>715</v>
      </c>
      <c r="D268" s="24" t="s">
        <v>133</v>
      </c>
      <c r="E268" s="25" t="s">
        <v>141</v>
      </c>
      <c r="F268" s="34" t="s">
        <v>116</v>
      </c>
      <c r="G268" s="24" t="s">
        <v>1684</v>
      </c>
      <c r="H268" s="24" t="s">
        <v>108</v>
      </c>
      <c r="I268" s="24" t="s">
        <v>1685</v>
      </c>
      <c r="J268" s="24" t="s">
        <v>108</v>
      </c>
      <c r="K268" s="24" t="s">
        <v>1686</v>
      </c>
      <c r="L268" s="27" t="s">
        <v>1687</v>
      </c>
      <c r="M268" s="28" t="s">
        <v>14</v>
      </c>
      <c r="N268" s="27" t="s">
        <v>1884</v>
      </c>
      <c r="O268" s="27" t="s">
        <v>112</v>
      </c>
      <c r="P268" s="29" t="s">
        <v>113</v>
      </c>
      <c r="Q268" s="27" t="s">
        <v>121</v>
      </c>
    </row>
    <row r="269" spans="1:17" x14ac:dyDescent="0.25">
      <c r="A269" s="30" t="s">
        <v>2151</v>
      </c>
      <c r="B269" s="27" t="s">
        <v>53</v>
      </c>
      <c r="C269" s="27" t="s">
        <v>765</v>
      </c>
      <c r="D269" s="27" t="s">
        <v>234</v>
      </c>
      <c r="E269" s="28" t="s">
        <v>141</v>
      </c>
      <c r="F269" s="33" t="s">
        <v>134</v>
      </c>
      <c r="G269" s="27" t="s">
        <v>1689</v>
      </c>
      <c r="H269" s="27" t="s">
        <v>1419</v>
      </c>
      <c r="I269" s="27" t="s">
        <v>1628</v>
      </c>
      <c r="J269" s="27" t="s">
        <v>108</v>
      </c>
      <c r="K269" s="27" t="s">
        <v>1690</v>
      </c>
      <c r="L269" s="27" t="s">
        <v>1691</v>
      </c>
      <c r="M269" s="28" t="s">
        <v>14</v>
      </c>
      <c r="N269" s="27" t="s">
        <v>1884</v>
      </c>
      <c r="O269" s="27" t="s">
        <v>112</v>
      </c>
      <c r="P269" s="29" t="s">
        <v>113</v>
      </c>
      <c r="Q269" s="27" t="s">
        <v>121</v>
      </c>
    </row>
    <row r="270" spans="1:17" x14ac:dyDescent="0.25">
      <c r="A270" s="23" t="s">
        <v>2152</v>
      </c>
      <c r="B270" s="24" t="s">
        <v>54</v>
      </c>
      <c r="C270" s="24" t="s">
        <v>1411</v>
      </c>
      <c r="D270" s="24" t="s">
        <v>636</v>
      </c>
      <c r="E270" s="25" t="s">
        <v>103</v>
      </c>
      <c r="F270" s="26" t="s">
        <v>104</v>
      </c>
      <c r="G270" s="24" t="s">
        <v>1693</v>
      </c>
      <c r="H270" s="24" t="s">
        <v>1694</v>
      </c>
      <c r="I270" s="24" t="s">
        <v>1695</v>
      </c>
      <c r="J270" s="24" t="s">
        <v>108</v>
      </c>
      <c r="K270" s="24" t="s">
        <v>1696</v>
      </c>
      <c r="L270" s="27" t="s">
        <v>1697</v>
      </c>
      <c r="M270" s="28" t="s">
        <v>14</v>
      </c>
      <c r="N270" s="27" t="s">
        <v>1884</v>
      </c>
      <c r="O270" s="27" t="s">
        <v>112</v>
      </c>
      <c r="P270" s="29" t="s">
        <v>113</v>
      </c>
      <c r="Q270" s="27" t="s">
        <v>121</v>
      </c>
    </row>
    <row r="271" spans="1:17" x14ac:dyDescent="0.25">
      <c r="A271" s="30" t="s">
        <v>2153</v>
      </c>
      <c r="B271" s="27" t="s">
        <v>54</v>
      </c>
      <c r="C271" s="27" t="s">
        <v>402</v>
      </c>
      <c r="D271" s="27" t="s">
        <v>133</v>
      </c>
      <c r="E271" s="28" t="s">
        <v>103</v>
      </c>
      <c r="F271" s="31" t="s">
        <v>116</v>
      </c>
      <c r="G271" s="27" t="s">
        <v>1699</v>
      </c>
      <c r="H271" s="27" t="s">
        <v>108</v>
      </c>
      <c r="I271" s="27" t="s">
        <v>1700</v>
      </c>
      <c r="J271" s="27" t="s">
        <v>108</v>
      </c>
      <c r="K271" s="27" t="s">
        <v>1701</v>
      </c>
      <c r="L271" s="27" t="s">
        <v>1702</v>
      </c>
      <c r="M271" s="28" t="s">
        <v>14</v>
      </c>
      <c r="N271" s="27" t="s">
        <v>1884</v>
      </c>
      <c r="O271" s="27" t="s">
        <v>112</v>
      </c>
      <c r="P271" s="29" t="s">
        <v>113</v>
      </c>
      <c r="Q271" s="27" t="s">
        <v>121</v>
      </c>
    </row>
    <row r="272" spans="1:17" x14ac:dyDescent="0.25">
      <c r="A272" s="23" t="s">
        <v>2154</v>
      </c>
      <c r="B272" s="24" t="s">
        <v>54</v>
      </c>
      <c r="C272" s="24" t="s">
        <v>402</v>
      </c>
      <c r="D272" s="24" t="s">
        <v>133</v>
      </c>
      <c r="E272" s="25" t="s">
        <v>103</v>
      </c>
      <c r="F272" s="32" t="s">
        <v>134</v>
      </c>
      <c r="G272" s="24" t="s">
        <v>1704</v>
      </c>
      <c r="H272" s="24" t="s">
        <v>1705</v>
      </c>
      <c r="I272" s="24" t="s">
        <v>1706</v>
      </c>
      <c r="J272" s="24" t="s">
        <v>108</v>
      </c>
      <c r="K272" s="24" t="s">
        <v>1707</v>
      </c>
      <c r="L272" s="27" t="s">
        <v>1708</v>
      </c>
      <c r="M272" s="28" t="s">
        <v>14</v>
      </c>
      <c r="N272" s="27" t="s">
        <v>1884</v>
      </c>
      <c r="O272" s="27" t="s">
        <v>112</v>
      </c>
      <c r="P272" s="29" t="s">
        <v>113</v>
      </c>
      <c r="Q272" s="27" t="s">
        <v>121</v>
      </c>
    </row>
    <row r="273" spans="1:17" x14ac:dyDescent="0.25">
      <c r="A273" s="30" t="s">
        <v>2155</v>
      </c>
      <c r="B273" s="27" t="s">
        <v>55</v>
      </c>
      <c r="C273" s="27" t="s">
        <v>1710</v>
      </c>
      <c r="D273" s="27" t="s">
        <v>102</v>
      </c>
      <c r="E273" s="28" t="s">
        <v>288</v>
      </c>
      <c r="F273" s="35" t="s">
        <v>194</v>
      </c>
      <c r="G273" s="27" t="s">
        <v>1711</v>
      </c>
      <c r="H273" s="27" t="s">
        <v>108</v>
      </c>
      <c r="I273" s="27" t="s">
        <v>1712</v>
      </c>
      <c r="J273" s="27" t="s">
        <v>108</v>
      </c>
      <c r="K273" s="27" t="s">
        <v>1713</v>
      </c>
      <c r="L273" s="27" t="s">
        <v>1714</v>
      </c>
      <c r="M273" s="28" t="s">
        <v>14</v>
      </c>
      <c r="N273" s="27" t="s">
        <v>1884</v>
      </c>
      <c r="O273" s="27" t="s">
        <v>112</v>
      </c>
      <c r="P273" s="29" t="s">
        <v>113</v>
      </c>
      <c r="Q273" s="27" t="s">
        <v>1715</v>
      </c>
    </row>
    <row r="274" spans="1:17" x14ac:dyDescent="0.25">
      <c r="A274" s="23" t="s">
        <v>2156</v>
      </c>
      <c r="B274" s="24" t="s">
        <v>55</v>
      </c>
      <c r="C274" s="24" t="s">
        <v>1710</v>
      </c>
      <c r="D274" s="24" t="s">
        <v>234</v>
      </c>
      <c r="E274" s="25" t="s">
        <v>288</v>
      </c>
      <c r="F274" s="37" t="s">
        <v>194</v>
      </c>
      <c r="G274" s="24" t="s">
        <v>1717</v>
      </c>
      <c r="H274" s="24" t="s">
        <v>1718</v>
      </c>
      <c r="I274" s="24" t="s">
        <v>1719</v>
      </c>
      <c r="J274" s="24" t="s">
        <v>108</v>
      </c>
      <c r="K274" s="24" t="s">
        <v>1720</v>
      </c>
      <c r="L274" s="27" t="s">
        <v>1721</v>
      </c>
      <c r="M274" s="28" t="s">
        <v>14</v>
      </c>
      <c r="N274" s="27" t="s">
        <v>1884</v>
      </c>
      <c r="O274" s="27" t="s">
        <v>112</v>
      </c>
      <c r="P274" s="29" t="s">
        <v>113</v>
      </c>
      <c r="Q274" s="27" t="s">
        <v>1722</v>
      </c>
    </row>
    <row r="275" spans="1:17" x14ac:dyDescent="0.25">
      <c r="A275" s="30" t="s">
        <v>2157</v>
      </c>
      <c r="B275" s="27" t="s">
        <v>55</v>
      </c>
      <c r="C275" s="27" t="s">
        <v>1710</v>
      </c>
      <c r="D275" s="27" t="s">
        <v>234</v>
      </c>
      <c r="E275" s="28" t="s">
        <v>288</v>
      </c>
      <c r="F275" s="36" t="s">
        <v>104</v>
      </c>
      <c r="G275" s="27" t="s">
        <v>1724</v>
      </c>
      <c r="H275" s="27" t="s">
        <v>1718</v>
      </c>
      <c r="I275" s="27" t="s">
        <v>1725</v>
      </c>
      <c r="J275" s="27" t="s">
        <v>108</v>
      </c>
      <c r="K275" s="27" t="s">
        <v>1726</v>
      </c>
      <c r="L275" s="27" t="s">
        <v>1727</v>
      </c>
      <c r="M275" s="28" t="s">
        <v>14</v>
      </c>
      <c r="N275" s="27" t="s">
        <v>1884</v>
      </c>
      <c r="O275" s="27" t="s">
        <v>112</v>
      </c>
      <c r="P275" s="29" t="s">
        <v>113</v>
      </c>
      <c r="Q275" s="27" t="s">
        <v>1728</v>
      </c>
    </row>
    <row r="276" spans="1:17" x14ac:dyDescent="0.25">
      <c r="A276" s="23" t="s">
        <v>2158</v>
      </c>
      <c r="B276" s="24" t="s">
        <v>55</v>
      </c>
      <c r="C276" s="24" t="s">
        <v>1710</v>
      </c>
      <c r="D276" s="24" t="s">
        <v>234</v>
      </c>
      <c r="E276" s="25" t="s">
        <v>288</v>
      </c>
      <c r="F276" s="26" t="s">
        <v>104</v>
      </c>
      <c r="G276" s="24" t="s">
        <v>1730</v>
      </c>
      <c r="H276" s="24" t="s">
        <v>108</v>
      </c>
      <c r="I276" s="24" t="s">
        <v>1731</v>
      </c>
      <c r="J276" s="24" t="s">
        <v>108</v>
      </c>
      <c r="K276" s="24" t="s">
        <v>1732</v>
      </c>
      <c r="L276" s="27" t="s">
        <v>1733</v>
      </c>
      <c r="M276" s="28" t="s">
        <v>14</v>
      </c>
      <c r="N276" s="27" t="s">
        <v>1884</v>
      </c>
      <c r="O276" s="27" t="s">
        <v>112</v>
      </c>
      <c r="P276" s="29" t="s">
        <v>113</v>
      </c>
      <c r="Q276" s="27" t="s">
        <v>121</v>
      </c>
    </row>
    <row r="277" spans="1:17" x14ac:dyDescent="0.25">
      <c r="A277" s="30" t="s">
        <v>2159</v>
      </c>
      <c r="B277" s="27" t="s">
        <v>55</v>
      </c>
      <c r="C277" s="27" t="s">
        <v>1735</v>
      </c>
      <c r="D277" s="27" t="s">
        <v>108</v>
      </c>
      <c r="E277" s="28" t="s">
        <v>288</v>
      </c>
      <c r="F277" s="33" t="s">
        <v>134</v>
      </c>
      <c r="G277" s="27" t="s">
        <v>1736</v>
      </c>
      <c r="H277" s="27" t="s">
        <v>108</v>
      </c>
      <c r="I277" s="27" t="s">
        <v>1737</v>
      </c>
      <c r="J277" s="27" t="s">
        <v>108</v>
      </c>
      <c r="K277" s="27" t="s">
        <v>1738</v>
      </c>
      <c r="L277" s="27" t="s">
        <v>1739</v>
      </c>
      <c r="M277" s="28" t="s">
        <v>14</v>
      </c>
      <c r="N277" s="27" t="s">
        <v>1884</v>
      </c>
      <c r="O277" s="27" t="s">
        <v>112</v>
      </c>
      <c r="P277" s="29" t="s">
        <v>113</v>
      </c>
      <c r="Q277" s="27" t="s">
        <v>121</v>
      </c>
    </row>
    <row r="278" spans="1:17" x14ac:dyDescent="0.25">
      <c r="A278" s="23" t="s">
        <v>2160</v>
      </c>
      <c r="B278" s="24" t="s">
        <v>55</v>
      </c>
      <c r="C278" s="24" t="s">
        <v>1741</v>
      </c>
      <c r="D278" s="24" t="s">
        <v>108</v>
      </c>
      <c r="E278" s="25" t="s">
        <v>288</v>
      </c>
      <c r="F278" s="32" t="s">
        <v>134</v>
      </c>
      <c r="G278" s="24" t="s">
        <v>1742</v>
      </c>
      <c r="H278" s="24" t="s">
        <v>108</v>
      </c>
      <c r="I278" s="24" t="s">
        <v>1743</v>
      </c>
      <c r="J278" s="24" t="s">
        <v>108</v>
      </c>
      <c r="K278" s="24" t="s">
        <v>1744</v>
      </c>
      <c r="L278" s="27" t="s">
        <v>1745</v>
      </c>
      <c r="M278" s="28" t="s">
        <v>14</v>
      </c>
      <c r="N278" s="27" t="s">
        <v>1884</v>
      </c>
      <c r="O278" s="27" t="s">
        <v>112</v>
      </c>
      <c r="P278" s="29" t="s">
        <v>113</v>
      </c>
      <c r="Q278" s="27" t="s">
        <v>121</v>
      </c>
    </row>
    <row r="279" spans="1:17" x14ac:dyDescent="0.25">
      <c r="A279" s="30" t="s">
        <v>2161</v>
      </c>
      <c r="B279" s="27" t="s">
        <v>55</v>
      </c>
      <c r="C279" s="27" t="s">
        <v>1747</v>
      </c>
      <c r="D279" s="27" t="s">
        <v>133</v>
      </c>
      <c r="E279" s="28" t="s">
        <v>288</v>
      </c>
      <c r="F279" s="31" t="s">
        <v>116</v>
      </c>
      <c r="G279" s="27" t="s">
        <v>1748</v>
      </c>
      <c r="H279" s="27" t="s">
        <v>108</v>
      </c>
      <c r="I279" s="27" t="s">
        <v>1749</v>
      </c>
      <c r="J279" s="27" t="s">
        <v>108</v>
      </c>
      <c r="K279" s="27" t="s">
        <v>1750</v>
      </c>
      <c r="L279" s="27" t="s">
        <v>1751</v>
      </c>
      <c r="M279" s="28" t="s">
        <v>14</v>
      </c>
      <c r="N279" s="27" t="s">
        <v>1884</v>
      </c>
      <c r="O279" s="27" t="s">
        <v>112</v>
      </c>
      <c r="P279" s="29" t="s">
        <v>113</v>
      </c>
      <c r="Q279" s="27" t="s">
        <v>121</v>
      </c>
    </row>
    <row r="280" spans="1:17" x14ac:dyDescent="0.25">
      <c r="A280" s="23" t="s">
        <v>2162</v>
      </c>
      <c r="B280" s="24" t="s">
        <v>55</v>
      </c>
      <c r="C280" s="24" t="s">
        <v>1753</v>
      </c>
      <c r="D280" s="24" t="s">
        <v>133</v>
      </c>
      <c r="E280" s="25" t="s">
        <v>1753</v>
      </c>
      <c r="F280" s="34" t="s">
        <v>116</v>
      </c>
      <c r="G280" s="24" t="s">
        <v>1754</v>
      </c>
      <c r="H280" s="24" t="s">
        <v>1755</v>
      </c>
      <c r="I280" s="24" t="s">
        <v>1756</v>
      </c>
      <c r="J280" s="24" t="s">
        <v>108</v>
      </c>
      <c r="K280" s="24" t="s">
        <v>1757</v>
      </c>
      <c r="L280" s="27" t="s">
        <v>1758</v>
      </c>
      <c r="M280" s="28" t="s">
        <v>14</v>
      </c>
      <c r="N280" s="27" t="s">
        <v>1884</v>
      </c>
      <c r="O280" s="27" t="s">
        <v>112</v>
      </c>
      <c r="P280" s="29" t="s">
        <v>113</v>
      </c>
      <c r="Q280" s="27" t="s">
        <v>121</v>
      </c>
    </row>
    <row r="281" spans="1:17" x14ac:dyDescent="0.25">
      <c r="A281" s="30" t="s">
        <v>2163</v>
      </c>
      <c r="B281" s="27" t="s">
        <v>55</v>
      </c>
      <c r="C281" s="27" t="s">
        <v>1753</v>
      </c>
      <c r="D281" s="27" t="s">
        <v>193</v>
      </c>
      <c r="E281" s="28" t="s">
        <v>1753</v>
      </c>
      <c r="F281" s="33" t="s">
        <v>134</v>
      </c>
      <c r="G281" s="27" t="s">
        <v>1760</v>
      </c>
      <c r="H281" s="27" t="s">
        <v>1761</v>
      </c>
      <c r="I281" s="27" t="s">
        <v>1762</v>
      </c>
      <c r="J281" s="27" t="s">
        <v>108</v>
      </c>
      <c r="K281" s="27" t="s">
        <v>1763</v>
      </c>
      <c r="L281" s="27" t="s">
        <v>1764</v>
      </c>
      <c r="M281" s="28" t="s">
        <v>14</v>
      </c>
      <c r="N281" s="27" t="s">
        <v>1884</v>
      </c>
      <c r="O281" s="27" t="s">
        <v>112</v>
      </c>
      <c r="P281" s="29" t="s">
        <v>113</v>
      </c>
      <c r="Q281" s="27" t="s">
        <v>121</v>
      </c>
    </row>
    <row r="282" spans="1:17" x14ac:dyDescent="0.25">
      <c r="A282" s="23" t="s">
        <v>2164</v>
      </c>
      <c r="B282" s="24" t="s">
        <v>55</v>
      </c>
      <c r="C282" s="24" t="s">
        <v>1766</v>
      </c>
      <c r="D282" s="24" t="s">
        <v>133</v>
      </c>
      <c r="E282" s="25" t="s">
        <v>1767</v>
      </c>
      <c r="F282" s="34" t="s">
        <v>116</v>
      </c>
      <c r="G282" s="24" t="s">
        <v>1768</v>
      </c>
      <c r="H282" s="24" t="s">
        <v>108</v>
      </c>
      <c r="I282" s="24" t="s">
        <v>1769</v>
      </c>
      <c r="J282" s="24" t="s">
        <v>108</v>
      </c>
      <c r="K282" s="24" t="s">
        <v>1770</v>
      </c>
      <c r="L282" s="27" t="s">
        <v>1771</v>
      </c>
      <c r="M282" s="28" t="s">
        <v>14</v>
      </c>
      <c r="N282" s="27" t="s">
        <v>1884</v>
      </c>
      <c r="O282" s="27" t="s">
        <v>112</v>
      </c>
      <c r="P282" s="29" t="s">
        <v>113</v>
      </c>
      <c r="Q282" s="27" t="s">
        <v>121</v>
      </c>
    </row>
    <row r="283" spans="1:17" x14ac:dyDescent="0.25">
      <c r="A283" s="30" t="s">
        <v>2165</v>
      </c>
      <c r="B283" s="27" t="s">
        <v>55</v>
      </c>
      <c r="C283" s="27" t="s">
        <v>1773</v>
      </c>
      <c r="D283" s="27" t="s">
        <v>133</v>
      </c>
      <c r="E283" s="28" t="s">
        <v>1774</v>
      </c>
      <c r="F283" s="33" t="s">
        <v>134</v>
      </c>
      <c r="G283" s="27" t="s">
        <v>1775</v>
      </c>
      <c r="H283" s="27" t="s">
        <v>108</v>
      </c>
      <c r="I283" s="27" t="s">
        <v>1776</v>
      </c>
      <c r="J283" s="27" t="s">
        <v>108</v>
      </c>
      <c r="K283" s="27" t="s">
        <v>1777</v>
      </c>
      <c r="L283" s="27" t="s">
        <v>1778</v>
      </c>
      <c r="M283" s="28" t="s">
        <v>14</v>
      </c>
      <c r="N283" s="27" t="s">
        <v>1884</v>
      </c>
      <c r="O283" s="27" t="s">
        <v>112</v>
      </c>
      <c r="P283" s="29" t="s">
        <v>113</v>
      </c>
      <c r="Q283" s="27" t="s">
        <v>121</v>
      </c>
    </row>
    <row r="284" spans="1:17" x14ac:dyDescent="0.25">
      <c r="A284" s="23" t="s">
        <v>2166</v>
      </c>
      <c r="B284" s="24" t="s">
        <v>57</v>
      </c>
      <c r="C284" s="24" t="s">
        <v>2167</v>
      </c>
      <c r="D284" s="24" t="s">
        <v>133</v>
      </c>
      <c r="E284" s="25" t="s">
        <v>1781</v>
      </c>
      <c r="F284" s="37" t="s">
        <v>194</v>
      </c>
      <c r="G284" s="24" t="s">
        <v>2168</v>
      </c>
      <c r="H284" s="24" t="s">
        <v>108</v>
      </c>
      <c r="I284" s="24" t="s">
        <v>2169</v>
      </c>
      <c r="J284" s="24" t="s">
        <v>108</v>
      </c>
      <c r="K284" s="24" t="s">
        <v>2170</v>
      </c>
      <c r="L284" s="27" t="s">
        <v>2171</v>
      </c>
      <c r="M284" s="28" t="s">
        <v>14</v>
      </c>
      <c r="N284" s="27" t="s">
        <v>1884</v>
      </c>
      <c r="O284" s="27" t="s">
        <v>112</v>
      </c>
      <c r="P284" s="29" t="s">
        <v>113</v>
      </c>
      <c r="Q284" s="27" t="s">
        <v>2172</v>
      </c>
    </row>
    <row r="285" spans="1:17" x14ac:dyDescent="0.25">
      <c r="A285" s="30" t="s">
        <v>2173</v>
      </c>
      <c r="B285" s="27" t="s">
        <v>57</v>
      </c>
      <c r="C285" s="27" t="s">
        <v>2167</v>
      </c>
      <c r="D285" s="27" t="s">
        <v>133</v>
      </c>
      <c r="E285" s="28" t="s">
        <v>1781</v>
      </c>
      <c r="F285" s="35" t="s">
        <v>194</v>
      </c>
      <c r="G285" s="27" t="s">
        <v>2174</v>
      </c>
      <c r="H285" s="27" t="s">
        <v>108</v>
      </c>
      <c r="I285" s="27" t="s">
        <v>1789</v>
      </c>
      <c r="J285" s="27" t="s">
        <v>108</v>
      </c>
      <c r="K285" s="27" t="s">
        <v>2175</v>
      </c>
      <c r="L285" s="27" t="s">
        <v>2176</v>
      </c>
      <c r="M285" s="28" t="s">
        <v>14</v>
      </c>
      <c r="N285" s="27" t="s">
        <v>1884</v>
      </c>
      <c r="O285" s="27" t="s">
        <v>112</v>
      </c>
      <c r="P285" s="29" t="s">
        <v>113</v>
      </c>
      <c r="Q285" s="27" t="s">
        <v>2172</v>
      </c>
    </row>
    <row r="286" spans="1:17" x14ac:dyDescent="0.25">
      <c r="A286" s="23" t="s">
        <v>2177</v>
      </c>
      <c r="B286" s="24" t="s">
        <v>57</v>
      </c>
      <c r="C286" s="24" t="s">
        <v>2167</v>
      </c>
      <c r="D286" s="24" t="s">
        <v>133</v>
      </c>
      <c r="E286" s="25" t="s">
        <v>1781</v>
      </c>
      <c r="F286" s="37" t="s">
        <v>194</v>
      </c>
      <c r="G286" s="24" t="s">
        <v>2178</v>
      </c>
      <c r="H286" s="24" t="s">
        <v>108</v>
      </c>
      <c r="I286" s="24" t="s">
        <v>1789</v>
      </c>
      <c r="J286" s="24" t="s">
        <v>108</v>
      </c>
      <c r="K286" s="24" t="s">
        <v>2179</v>
      </c>
      <c r="L286" s="27" t="s">
        <v>2180</v>
      </c>
      <c r="M286" s="28" t="s">
        <v>14</v>
      </c>
      <c r="N286" s="27" t="s">
        <v>1884</v>
      </c>
      <c r="O286" s="27" t="s">
        <v>112</v>
      </c>
      <c r="P286" s="29" t="s">
        <v>113</v>
      </c>
      <c r="Q286" s="27" t="s">
        <v>2172</v>
      </c>
    </row>
    <row r="287" spans="1:17" x14ac:dyDescent="0.25">
      <c r="A287" s="30" t="s">
        <v>2181</v>
      </c>
      <c r="B287" s="27" t="s">
        <v>57</v>
      </c>
      <c r="C287" s="27" t="s">
        <v>2167</v>
      </c>
      <c r="D287" s="27" t="s">
        <v>133</v>
      </c>
      <c r="E287" s="28" t="s">
        <v>1781</v>
      </c>
      <c r="F287" s="31" t="s">
        <v>116</v>
      </c>
      <c r="G287" s="27" t="s">
        <v>2182</v>
      </c>
      <c r="H287" s="27" t="s">
        <v>108</v>
      </c>
      <c r="I287" s="27" t="s">
        <v>2183</v>
      </c>
      <c r="J287" s="27" t="s">
        <v>108</v>
      </c>
      <c r="K287" s="27" t="s">
        <v>2184</v>
      </c>
      <c r="L287" s="27" t="s">
        <v>2185</v>
      </c>
      <c r="M287" s="28" t="s">
        <v>14</v>
      </c>
      <c r="N287" s="27" t="s">
        <v>1884</v>
      </c>
      <c r="O287" s="27" t="s">
        <v>112</v>
      </c>
      <c r="P287" s="29" t="s">
        <v>113</v>
      </c>
      <c r="Q287" s="27" t="s">
        <v>2172</v>
      </c>
    </row>
    <row r="288" spans="1:17" x14ac:dyDescent="0.25">
      <c r="A288" s="23" t="s">
        <v>2186</v>
      </c>
      <c r="B288" s="24" t="s">
        <v>57</v>
      </c>
      <c r="C288" s="24" t="s">
        <v>2167</v>
      </c>
      <c r="D288" s="24" t="s">
        <v>133</v>
      </c>
      <c r="E288" s="25" t="s">
        <v>1781</v>
      </c>
      <c r="F288" s="32" t="s">
        <v>134</v>
      </c>
      <c r="G288" s="24" t="s">
        <v>2187</v>
      </c>
      <c r="H288" s="24" t="s">
        <v>108</v>
      </c>
      <c r="I288" s="24" t="s">
        <v>2188</v>
      </c>
      <c r="J288" s="24" t="s">
        <v>108</v>
      </c>
      <c r="K288" s="24" t="s">
        <v>2189</v>
      </c>
      <c r="L288" s="27" t="s">
        <v>2190</v>
      </c>
      <c r="M288" s="28" t="s">
        <v>14</v>
      </c>
      <c r="N288" s="27" t="s">
        <v>1884</v>
      </c>
      <c r="O288" s="27" t="s">
        <v>112</v>
      </c>
      <c r="P288" s="29" t="s">
        <v>113</v>
      </c>
      <c r="Q288" s="27" t="s">
        <v>2172</v>
      </c>
    </row>
    <row r="289" spans="1:17" x14ac:dyDescent="0.25">
      <c r="A289" s="30" t="s">
        <v>2191</v>
      </c>
      <c r="B289" s="27" t="s">
        <v>57</v>
      </c>
      <c r="C289" s="27" t="s">
        <v>2192</v>
      </c>
      <c r="D289" s="27" t="s">
        <v>193</v>
      </c>
      <c r="E289" s="28" t="s">
        <v>103</v>
      </c>
      <c r="F289" s="35" t="s">
        <v>194</v>
      </c>
      <c r="G289" s="27" t="s">
        <v>2193</v>
      </c>
      <c r="H289" s="27" t="s">
        <v>2194</v>
      </c>
      <c r="I289" s="27" t="s">
        <v>2195</v>
      </c>
      <c r="J289" s="27" t="s">
        <v>108</v>
      </c>
      <c r="K289" s="27" t="s">
        <v>2196</v>
      </c>
      <c r="L289" s="27" t="s">
        <v>2197</v>
      </c>
      <c r="M289" s="28" t="s">
        <v>14</v>
      </c>
      <c r="N289" s="27" t="s">
        <v>1884</v>
      </c>
      <c r="O289" s="27" t="s">
        <v>112</v>
      </c>
      <c r="P289" s="29" t="s">
        <v>113</v>
      </c>
      <c r="Q289" s="27" t="s">
        <v>2172</v>
      </c>
    </row>
    <row r="290" spans="1:17" x14ac:dyDescent="0.25">
      <c r="A290" s="23" t="s">
        <v>2198</v>
      </c>
      <c r="B290" s="24" t="s">
        <v>57</v>
      </c>
      <c r="C290" s="24" t="s">
        <v>2192</v>
      </c>
      <c r="D290" s="24" t="s">
        <v>544</v>
      </c>
      <c r="E290" s="25" t="s">
        <v>103</v>
      </c>
      <c r="F290" s="37" t="s">
        <v>194</v>
      </c>
      <c r="G290" s="24" t="s">
        <v>2199</v>
      </c>
      <c r="H290" s="24" t="s">
        <v>2200</v>
      </c>
      <c r="I290" s="24" t="s">
        <v>2195</v>
      </c>
      <c r="J290" s="24" t="s">
        <v>108</v>
      </c>
      <c r="K290" s="24" t="s">
        <v>2201</v>
      </c>
      <c r="L290" s="27" t="s">
        <v>2202</v>
      </c>
      <c r="M290" s="28" t="s">
        <v>14</v>
      </c>
      <c r="N290" s="27" t="s">
        <v>1884</v>
      </c>
      <c r="O290" s="27" t="s">
        <v>112</v>
      </c>
      <c r="P290" s="29" t="s">
        <v>113</v>
      </c>
      <c r="Q290" s="27" t="s">
        <v>2172</v>
      </c>
    </row>
    <row r="291" spans="1:17" x14ac:dyDescent="0.25">
      <c r="A291" s="30" t="s">
        <v>2203</v>
      </c>
      <c r="B291" s="27" t="s">
        <v>57</v>
      </c>
      <c r="C291" s="27" t="s">
        <v>2192</v>
      </c>
      <c r="D291" s="27" t="s">
        <v>133</v>
      </c>
      <c r="E291" s="28" t="s">
        <v>103</v>
      </c>
      <c r="F291" s="36" t="s">
        <v>104</v>
      </c>
      <c r="G291" s="27" t="s">
        <v>2204</v>
      </c>
      <c r="H291" s="27" t="s">
        <v>108</v>
      </c>
      <c r="I291" s="27" t="s">
        <v>2205</v>
      </c>
      <c r="J291" s="27" t="s">
        <v>108</v>
      </c>
      <c r="K291" s="27" t="s">
        <v>2206</v>
      </c>
      <c r="L291" s="27" t="s">
        <v>2207</v>
      </c>
      <c r="M291" s="28" t="s">
        <v>14</v>
      </c>
      <c r="N291" s="27" t="s">
        <v>1884</v>
      </c>
      <c r="O291" s="27" t="s">
        <v>112</v>
      </c>
      <c r="P291" s="29" t="s">
        <v>113</v>
      </c>
      <c r="Q291" s="27" t="s">
        <v>2172</v>
      </c>
    </row>
    <row r="292" spans="1:17" x14ac:dyDescent="0.25">
      <c r="A292" s="23" t="s">
        <v>2208</v>
      </c>
      <c r="B292" s="24" t="s">
        <v>57</v>
      </c>
      <c r="C292" s="24" t="s">
        <v>2192</v>
      </c>
      <c r="D292" s="24" t="s">
        <v>133</v>
      </c>
      <c r="E292" s="25" t="s">
        <v>141</v>
      </c>
      <c r="F292" s="34" t="s">
        <v>116</v>
      </c>
      <c r="G292" s="24" t="s">
        <v>2209</v>
      </c>
      <c r="H292" s="24" t="s">
        <v>2210</v>
      </c>
      <c r="I292" s="24" t="s">
        <v>2211</v>
      </c>
      <c r="J292" s="24" t="s">
        <v>108</v>
      </c>
      <c r="K292" s="24" t="s">
        <v>2212</v>
      </c>
      <c r="L292" s="27" t="s">
        <v>2213</v>
      </c>
      <c r="M292" s="28" t="s">
        <v>14</v>
      </c>
      <c r="N292" s="27" t="s">
        <v>1884</v>
      </c>
      <c r="O292" s="27" t="s">
        <v>112</v>
      </c>
      <c r="P292" s="29" t="s">
        <v>113</v>
      </c>
      <c r="Q292" s="27" t="s">
        <v>2172</v>
      </c>
    </row>
    <row r="293" spans="1:17" x14ac:dyDescent="0.25">
      <c r="A293" s="30" t="s">
        <v>2214</v>
      </c>
      <c r="B293" s="27" t="s">
        <v>57</v>
      </c>
      <c r="C293" s="27" t="s">
        <v>2215</v>
      </c>
      <c r="D293" s="27" t="s">
        <v>133</v>
      </c>
      <c r="E293" s="28" t="s">
        <v>141</v>
      </c>
      <c r="F293" s="36" t="s">
        <v>104</v>
      </c>
      <c r="G293" s="27" t="s">
        <v>2216</v>
      </c>
      <c r="H293" s="27" t="s">
        <v>108</v>
      </c>
      <c r="I293" s="27" t="s">
        <v>2217</v>
      </c>
      <c r="J293" s="27" t="s">
        <v>108</v>
      </c>
      <c r="K293" s="27" t="s">
        <v>2218</v>
      </c>
      <c r="L293" s="27" t="s">
        <v>2219</v>
      </c>
      <c r="M293" s="28" t="s">
        <v>14</v>
      </c>
      <c r="N293" s="27" t="s">
        <v>1884</v>
      </c>
      <c r="O293" s="27" t="s">
        <v>112</v>
      </c>
      <c r="P293" s="29" t="s">
        <v>113</v>
      </c>
      <c r="Q293" s="27" t="s">
        <v>2172</v>
      </c>
    </row>
    <row r="294" spans="1:17" x14ac:dyDescent="0.25">
      <c r="A294" s="23" t="s">
        <v>2220</v>
      </c>
      <c r="B294" s="24" t="s">
        <v>57</v>
      </c>
      <c r="C294" s="24" t="s">
        <v>2221</v>
      </c>
      <c r="D294" s="24" t="s">
        <v>133</v>
      </c>
      <c r="E294" s="25" t="s">
        <v>1824</v>
      </c>
      <c r="F294" s="37" t="s">
        <v>194</v>
      </c>
      <c r="G294" s="24" t="s">
        <v>2222</v>
      </c>
      <c r="H294" s="24" t="s">
        <v>108</v>
      </c>
      <c r="I294" s="24" t="s">
        <v>2223</v>
      </c>
      <c r="J294" s="24" t="s">
        <v>108</v>
      </c>
      <c r="K294" s="24" t="s">
        <v>2224</v>
      </c>
      <c r="L294" s="27" t="s">
        <v>2225</v>
      </c>
      <c r="M294" s="28" t="s">
        <v>14</v>
      </c>
      <c r="N294" s="27" t="s">
        <v>1884</v>
      </c>
      <c r="O294" s="27" t="s">
        <v>112</v>
      </c>
      <c r="P294" s="29" t="s">
        <v>113</v>
      </c>
      <c r="Q294" s="27" t="s">
        <v>2172</v>
      </c>
    </row>
    <row r="295" spans="1:17" x14ac:dyDescent="0.25">
      <c r="A295" s="30" t="s">
        <v>2226</v>
      </c>
      <c r="B295" s="27" t="s">
        <v>57</v>
      </c>
      <c r="C295" s="27" t="s">
        <v>2221</v>
      </c>
      <c r="D295" s="27" t="s">
        <v>133</v>
      </c>
      <c r="E295" s="28" t="s">
        <v>1824</v>
      </c>
      <c r="F295" s="36" t="s">
        <v>104</v>
      </c>
      <c r="G295" s="27" t="s">
        <v>2227</v>
      </c>
      <c r="H295" s="27" t="s">
        <v>108</v>
      </c>
      <c r="I295" s="27" t="s">
        <v>2228</v>
      </c>
      <c r="J295" s="27" t="s">
        <v>108</v>
      </c>
      <c r="K295" s="27" t="s">
        <v>2229</v>
      </c>
      <c r="L295" s="27" t="s">
        <v>2230</v>
      </c>
      <c r="M295" s="28" t="s">
        <v>14</v>
      </c>
      <c r="N295" s="27" t="s">
        <v>1884</v>
      </c>
      <c r="O295" s="27" t="s">
        <v>112</v>
      </c>
      <c r="P295" s="29" t="s">
        <v>113</v>
      </c>
      <c r="Q295" s="27" t="s">
        <v>2172</v>
      </c>
    </row>
    <row r="296" spans="1:17" x14ac:dyDescent="0.25">
      <c r="A296" s="23" t="s">
        <v>2231</v>
      </c>
      <c r="B296" s="24" t="s">
        <v>57</v>
      </c>
      <c r="C296" s="24" t="s">
        <v>2232</v>
      </c>
      <c r="D296" s="24" t="s">
        <v>234</v>
      </c>
      <c r="E296" s="25" t="s">
        <v>1824</v>
      </c>
      <c r="F296" s="26" t="s">
        <v>104</v>
      </c>
      <c r="G296" s="24" t="s">
        <v>2233</v>
      </c>
      <c r="H296" s="24" t="s">
        <v>1035</v>
      </c>
      <c r="I296" s="24" t="s">
        <v>2234</v>
      </c>
      <c r="J296" s="24" t="s">
        <v>108</v>
      </c>
      <c r="K296" s="24" t="s">
        <v>2235</v>
      </c>
      <c r="L296" s="27" t="s">
        <v>2236</v>
      </c>
      <c r="M296" s="28" t="s">
        <v>14</v>
      </c>
      <c r="N296" s="27" t="s">
        <v>1884</v>
      </c>
      <c r="O296" s="27" t="s">
        <v>112</v>
      </c>
      <c r="P296" s="29" t="s">
        <v>113</v>
      </c>
      <c r="Q296" s="27" t="s">
        <v>2172</v>
      </c>
    </row>
    <row r="297" spans="1:17" x14ac:dyDescent="0.25">
      <c r="A297" s="30" t="s">
        <v>2237</v>
      </c>
      <c r="B297" s="27" t="s">
        <v>57</v>
      </c>
      <c r="C297" s="27" t="s">
        <v>2238</v>
      </c>
      <c r="D297" s="27" t="s">
        <v>193</v>
      </c>
      <c r="E297" s="28" t="s">
        <v>1824</v>
      </c>
      <c r="F297" s="36" t="s">
        <v>104</v>
      </c>
      <c r="G297" s="27" t="s">
        <v>2239</v>
      </c>
      <c r="H297" s="27" t="s">
        <v>539</v>
      </c>
      <c r="I297" s="27" t="s">
        <v>2240</v>
      </c>
      <c r="J297" s="27" t="s">
        <v>108</v>
      </c>
      <c r="K297" s="27" t="s">
        <v>2241</v>
      </c>
      <c r="L297" s="27" t="s">
        <v>2242</v>
      </c>
      <c r="M297" s="28" t="s">
        <v>14</v>
      </c>
      <c r="N297" s="27" t="s">
        <v>1884</v>
      </c>
      <c r="O297" s="27" t="s">
        <v>112</v>
      </c>
      <c r="P297" s="29" t="s">
        <v>113</v>
      </c>
      <c r="Q297" s="27" t="s">
        <v>2172</v>
      </c>
    </row>
    <row r="298" spans="1:17" x14ac:dyDescent="0.25">
      <c r="A298" s="23" t="s">
        <v>2243</v>
      </c>
      <c r="B298" s="24" t="s">
        <v>57</v>
      </c>
      <c r="C298" s="24" t="s">
        <v>2244</v>
      </c>
      <c r="D298" s="24" t="s">
        <v>133</v>
      </c>
      <c r="E298" s="25" t="s">
        <v>1824</v>
      </c>
      <c r="F298" s="37" t="s">
        <v>194</v>
      </c>
      <c r="G298" s="24" t="s">
        <v>2245</v>
      </c>
      <c r="H298" s="24" t="s">
        <v>108</v>
      </c>
      <c r="I298" s="24" t="s">
        <v>2246</v>
      </c>
      <c r="J298" s="24" t="s">
        <v>108</v>
      </c>
      <c r="K298" s="24" t="s">
        <v>2247</v>
      </c>
      <c r="L298" s="27" t="s">
        <v>2248</v>
      </c>
      <c r="M298" s="28" t="s">
        <v>14</v>
      </c>
      <c r="N298" s="27" t="s">
        <v>1884</v>
      </c>
      <c r="O298" s="27" t="s">
        <v>112</v>
      </c>
      <c r="P298" s="29" t="s">
        <v>113</v>
      </c>
      <c r="Q298" s="27" t="s">
        <v>2172</v>
      </c>
    </row>
    <row r="299" spans="1:17" x14ac:dyDescent="0.25">
      <c r="A299" s="30" t="s">
        <v>2249</v>
      </c>
      <c r="B299" s="27" t="s">
        <v>57</v>
      </c>
      <c r="C299" s="27" t="s">
        <v>2244</v>
      </c>
      <c r="D299" s="27" t="s">
        <v>133</v>
      </c>
      <c r="E299" s="28" t="s">
        <v>1824</v>
      </c>
      <c r="F299" s="31" t="s">
        <v>116</v>
      </c>
      <c r="G299" s="27" t="s">
        <v>2250</v>
      </c>
      <c r="H299" s="27" t="s">
        <v>108</v>
      </c>
      <c r="I299" s="27" t="s">
        <v>2251</v>
      </c>
      <c r="J299" s="27" t="s">
        <v>108</v>
      </c>
      <c r="K299" s="27" t="s">
        <v>2252</v>
      </c>
      <c r="L299" s="27" t="s">
        <v>2253</v>
      </c>
      <c r="M299" s="28" t="s">
        <v>14</v>
      </c>
      <c r="N299" s="27" t="s">
        <v>1884</v>
      </c>
      <c r="O299" s="27" t="s">
        <v>112</v>
      </c>
      <c r="P299" s="29" t="s">
        <v>113</v>
      </c>
      <c r="Q299" s="27" t="s">
        <v>2172</v>
      </c>
    </row>
    <row r="300" spans="1:17" x14ac:dyDescent="0.25">
      <c r="A300" s="23" t="s">
        <v>2254</v>
      </c>
      <c r="B300" s="24" t="s">
        <v>57</v>
      </c>
      <c r="C300" s="24" t="s">
        <v>2255</v>
      </c>
      <c r="D300" s="24" t="s">
        <v>133</v>
      </c>
      <c r="E300" s="25" t="s">
        <v>141</v>
      </c>
      <c r="F300" s="32" t="s">
        <v>134</v>
      </c>
      <c r="G300" s="24" t="s">
        <v>2256</v>
      </c>
      <c r="H300" s="24" t="s">
        <v>108</v>
      </c>
      <c r="I300" s="24" t="s">
        <v>2257</v>
      </c>
      <c r="J300" s="24" t="s">
        <v>108</v>
      </c>
      <c r="K300" s="24" t="s">
        <v>2258</v>
      </c>
      <c r="L300" s="27" t="s">
        <v>2259</v>
      </c>
      <c r="M300" s="28" t="s">
        <v>14</v>
      </c>
      <c r="N300" s="27" t="s">
        <v>1884</v>
      </c>
      <c r="O300" s="27" t="s">
        <v>112</v>
      </c>
      <c r="P300" s="29" t="s">
        <v>113</v>
      </c>
      <c r="Q300" s="27" t="s">
        <v>2172</v>
      </c>
    </row>
    <row r="301" spans="1:17" x14ac:dyDescent="0.25">
      <c r="A301" s="30" t="s">
        <v>2260</v>
      </c>
      <c r="B301" s="27" t="s">
        <v>57</v>
      </c>
      <c r="C301" s="27" t="s">
        <v>2261</v>
      </c>
      <c r="D301" s="27" t="s">
        <v>133</v>
      </c>
      <c r="E301" s="28" t="s">
        <v>103</v>
      </c>
      <c r="F301" s="35" t="s">
        <v>194</v>
      </c>
      <c r="G301" s="27" t="s">
        <v>2262</v>
      </c>
      <c r="H301" s="27" t="s">
        <v>1851</v>
      </c>
      <c r="I301" s="27" t="s">
        <v>2263</v>
      </c>
      <c r="J301" s="27" t="s">
        <v>108</v>
      </c>
      <c r="K301" s="27" t="s">
        <v>2264</v>
      </c>
      <c r="L301" s="27" t="s">
        <v>2265</v>
      </c>
      <c r="M301" s="28" t="s">
        <v>14</v>
      </c>
      <c r="N301" s="27" t="s">
        <v>1884</v>
      </c>
      <c r="O301" s="27" t="s">
        <v>112</v>
      </c>
      <c r="P301" s="29" t="s">
        <v>113</v>
      </c>
      <c r="Q301" s="27" t="s">
        <v>2172</v>
      </c>
    </row>
    <row r="302" spans="1:17" x14ac:dyDescent="0.25">
      <c r="A302" s="23" t="s">
        <v>2266</v>
      </c>
      <c r="B302" s="24" t="s">
        <v>57</v>
      </c>
      <c r="C302" s="24" t="s">
        <v>2261</v>
      </c>
      <c r="D302" s="24" t="s">
        <v>133</v>
      </c>
      <c r="E302" s="25" t="s">
        <v>103</v>
      </c>
      <c r="F302" s="26" t="s">
        <v>104</v>
      </c>
      <c r="G302" s="24" t="s">
        <v>2267</v>
      </c>
      <c r="H302" s="24" t="s">
        <v>2268</v>
      </c>
      <c r="I302" s="24" t="s">
        <v>2269</v>
      </c>
      <c r="J302" s="24" t="s">
        <v>108</v>
      </c>
      <c r="K302" s="24" t="s">
        <v>2270</v>
      </c>
      <c r="L302" s="27" t="s">
        <v>2271</v>
      </c>
      <c r="M302" s="28" t="s">
        <v>14</v>
      </c>
      <c r="N302" s="27" t="s">
        <v>1884</v>
      </c>
      <c r="O302" s="27" t="s">
        <v>112</v>
      </c>
      <c r="P302" s="29" t="s">
        <v>113</v>
      </c>
      <c r="Q302" s="27" t="s">
        <v>2172</v>
      </c>
    </row>
    <row r="303" spans="1:17" x14ac:dyDescent="0.25">
      <c r="A303" s="30" t="s">
        <v>2272</v>
      </c>
      <c r="B303" s="27" t="s">
        <v>57</v>
      </c>
      <c r="C303" s="27" t="s">
        <v>2261</v>
      </c>
      <c r="D303" s="27" t="s">
        <v>133</v>
      </c>
      <c r="E303" s="28" t="s">
        <v>141</v>
      </c>
      <c r="F303" s="31" t="s">
        <v>116</v>
      </c>
      <c r="G303" s="27" t="s">
        <v>2273</v>
      </c>
      <c r="H303" s="27" t="s">
        <v>2274</v>
      </c>
      <c r="I303" s="27" t="s">
        <v>2275</v>
      </c>
      <c r="J303" s="27" t="s">
        <v>108</v>
      </c>
      <c r="K303" s="27" t="s">
        <v>2276</v>
      </c>
      <c r="L303" s="27" t="s">
        <v>2277</v>
      </c>
      <c r="M303" s="28" t="s">
        <v>14</v>
      </c>
      <c r="N303" s="27" t="s">
        <v>1884</v>
      </c>
      <c r="O303" s="27" t="s">
        <v>112</v>
      </c>
      <c r="P303" s="29" t="s">
        <v>113</v>
      </c>
      <c r="Q303" s="27" t="s">
        <v>2172</v>
      </c>
    </row>
    <row r="304" spans="1:17" x14ac:dyDescent="0.25">
      <c r="A304" s="23" t="s">
        <v>2278</v>
      </c>
      <c r="B304" s="24" t="s">
        <v>57</v>
      </c>
      <c r="C304" s="24" t="s">
        <v>722</v>
      </c>
      <c r="D304" s="24" t="s">
        <v>133</v>
      </c>
      <c r="E304" s="25" t="s">
        <v>1824</v>
      </c>
      <c r="F304" s="26" t="s">
        <v>104</v>
      </c>
      <c r="G304" s="24" t="s">
        <v>2279</v>
      </c>
      <c r="H304" s="24" t="s">
        <v>108</v>
      </c>
      <c r="I304" s="24" t="s">
        <v>2280</v>
      </c>
      <c r="J304" s="24" t="s">
        <v>108</v>
      </c>
      <c r="K304" s="24" t="s">
        <v>2281</v>
      </c>
      <c r="L304" s="27" t="s">
        <v>2282</v>
      </c>
      <c r="M304" s="28" t="s">
        <v>14</v>
      </c>
      <c r="N304" s="27" t="s">
        <v>1884</v>
      </c>
      <c r="O304" s="27" t="s">
        <v>112</v>
      </c>
      <c r="P304" s="29" t="s">
        <v>113</v>
      </c>
      <c r="Q304" s="27" t="s">
        <v>2172</v>
      </c>
    </row>
    <row r="305" spans="1:17" x14ac:dyDescent="0.25">
      <c r="A305" s="30" t="s">
        <v>2283</v>
      </c>
      <c r="B305" s="27" t="s">
        <v>57</v>
      </c>
      <c r="C305" s="27" t="s">
        <v>1836</v>
      </c>
      <c r="D305" s="27" t="s">
        <v>133</v>
      </c>
      <c r="E305" s="28" t="s">
        <v>141</v>
      </c>
      <c r="F305" s="36" t="s">
        <v>104</v>
      </c>
      <c r="G305" s="27" t="s">
        <v>2284</v>
      </c>
      <c r="H305" s="27" t="s">
        <v>108</v>
      </c>
      <c r="I305" s="27" t="s">
        <v>2285</v>
      </c>
      <c r="J305" s="27" t="s">
        <v>108</v>
      </c>
      <c r="K305" s="27" t="s">
        <v>2286</v>
      </c>
      <c r="L305" s="27" t="s">
        <v>2287</v>
      </c>
      <c r="M305" s="28" t="s">
        <v>14</v>
      </c>
      <c r="N305" s="27" t="s">
        <v>1884</v>
      </c>
      <c r="O305" s="27" t="s">
        <v>112</v>
      </c>
      <c r="P305" s="29" t="s">
        <v>113</v>
      </c>
      <c r="Q305" s="27" t="s">
        <v>2172</v>
      </c>
    </row>
    <row r="306" spans="1:17" x14ac:dyDescent="0.25">
      <c r="A306" s="23" t="s">
        <v>2288</v>
      </c>
      <c r="B306" s="24" t="s">
        <v>57</v>
      </c>
      <c r="C306" s="24" t="s">
        <v>1836</v>
      </c>
      <c r="D306" s="24" t="s">
        <v>133</v>
      </c>
      <c r="E306" s="25" t="s">
        <v>141</v>
      </c>
      <c r="F306" s="34" t="s">
        <v>116</v>
      </c>
      <c r="G306" s="24" t="s">
        <v>2289</v>
      </c>
      <c r="H306" s="24" t="s">
        <v>2290</v>
      </c>
      <c r="I306" s="24" t="s">
        <v>2291</v>
      </c>
      <c r="J306" s="24" t="s">
        <v>108</v>
      </c>
      <c r="K306" s="24" t="s">
        <v>2292</v>
      </c>
      <c r="L306" s="27" t="s">
        <v>2293</v>
      </c>
      <c r="M306" s="28" t="s">
        <v>14</v>
      </c>
      <c r="N306" s="27" t="s">
        <v>1884</v>
      </c>
      <c r="O306" s="27" t="s">
        <v>112</v>
      </c>
      <c r="P306" s="29" t="s">
        <v>113</v>
      </c>
      <c r="Q306" s="27" t="s">
        <v>2172</v>
      </c>
    </row>
    <row r="307" spans="1:17" x14ac:dyDescent="0.25">
      <c r="A307" s="30" t="s">
        <v>2294</v>
      </c>
      <c r="B307" s="27" t="s">
        <v>57</v>
      </c>
      <c r="C307" s="27" t="s">
        <v>1836</v>
      </c>
      <c r="D307" s="27" t="s">
        <v>133</v>
      </c>
      <c r="E307" s="28" t="s">
        <v>141</v>
      </c>
      <c r="F307" s="33" t="s">
        <v>134</v>
      </c>
      <c r="G307" s="27" t="s">
        <v>2295</v>
      </c>
      <c r="H307" s="27" t="s">
        <v>108</v>
      </c>
      <c r="I307" s="27" t="s">
        <v>2296</v>
      </c>
      <c r="J307" s="27" t="s">
        <v>108</v>
      </c>
      <c r="K307" s="27" t="s">
        <v>2297</v>
      </c>
      <c r="L307" s="27" t="s">
        <v>2298</v>
      </c>
      <c r="M307" s="28" t="s">
        <v>14</v>
      </c>
      <c r="N307" s="27" t="s">
        <v>1884</v>
      </c>
      <c r="O307" s="27" t="s">
        <v>112</v>
      </c>
      <c r="P307" s="29" t="s">
        <v>113</v>
      </c>
      <c r="Q307" s="27" t="s">
        <v>2172</v>
      </c>
    </row>
    <row r="308" spans="1:17" x14ac:dyDescent="0.25">
      <c r="A308" s="23" t="s">
        <v>2299</v>
      </c>
      <c r="B308" s="24" t="s">
        <v>57</v>
      </c>
      <c r="C308" s="24" t="s">
        <v>2300</v>
      </c>
      <c r="D308" s="24" t="s">
        <v>133</v>
      </c>
      <c r="E308" s="25" t="s">
        <v>103</v>
      </c>
      <c r="F308" s="26" t="s">
        <v>104</v>
      </c>
      <c r="G308" s="24" t="s">
        <v>2301</v>
      </c>
      <c r="H308" s="24" t="s">
        <v>108</v>
      </c>
      <c r="I308" s="24" t="s">
        <v>2302</v>
      </c>
      <c r="J308" s="24" t="s">
        <v>108</v>
      </c>
      <c r="K308" s="24" t="s">
        <v>2303</v>
      </c>
      <c r="L308" s="27" t="s">
        <v>2304</v>
      </c>
      <c r="M308" s="28" t="s">
        <v>14</v>
      </c>
      <c r="N308" s="27" t="s">
        <v>1884</v>
      </c>
      <c r="O308" s="27" t="s">
        <v>112</v>
      </c>
      <c r="P308" s="29" t="s">
        <v>113</v>
      </c>
      <c r="Q308" s="27" t="s">
        <v>2172</v>
      </c>
    </row>
    <row r="309" spans="1:17" x14ac:dyDescent="0.25">
      <c r="A309" s="30" t="s">
        <v>2305</v>
      </c>
      <c r="B309" s="27" t="s">
        <v>57</v>
      </c>
      <c r="C309" s="27" t="s">
        <v>1747</v>
      </c>
      <c r="D309" s="27" t="s">
        <v>133</v>
      </c>
      <c r="E309" s="28" t="s">
        <v>103</v>
      </c>
      <c r="F309" s="36" t="s">
        <v>104</v>
      </c>
      <c r="G309" s="27" t="s">
        <v>2306</v>
      </c>
      <c r="H309" s="27" t="s">
        <v>108</v>
      </c>
      <c r="I309" s="27" t="s">
        <v>2307</v>
      </c>
      <c r="J309" s="27" t="s">
        <v>108</v>
      </c>
      <c r="K309" s="27" t="s">
        <v>2308</v>
      </c>
      <c r="L309" s="27" t="s">
        <v>2309</v>
      </c>
      <c r="M309" s="28" t="s">
        <v>14</v>
      </c>
      <c r="N309" s="27" t="s">
        <v>1884</v>
      </c>
      <c r="O309" s="27" t="s">
        <v>112</v>
      </c>
      <c r="P309" s="29" t="s">
        <v>113</v>
      </c>
      <c r="Q309" s="27" t="s">
        <v>2172</v>
      </c>
    </row>
    <row r="310" spans="1:17" x14ac:dyDescent="0.25">
      <c r="A310" s="23" t="s">
        <v>2310</v>
      </c>
      <c r="B310" s="24" t="s">
        <v>57</v>
      </c>
      <c r="C310" s="24" t="s">
        <v>1861</v>
      </c>
      <c r="D310" s="24" t="s">
        <v>193</v>
      </c>
      <c r="E310" s="25" t="s">
        <v>103</v>
      </c>
      <c r="F310" s="34" t="s">
        <v>116</v>
      </c>
      <c r="G310" s="24" t="s">
        <v>2311</v>
      </c>
      <c r="H310" s="24" t="s">
        <v>108</v>
      </c>
      <c r="I310" s="24" t="s">
        <v>2312</v>
      </c>
      <c r="J310" s="24" t="s">
        <v>108</v>
      </c>
      <c r="K310" s="24" t="s">
        <v>2313</v>
      </c>
      <c r="L310" s="27" t="s">
        <v>2314</v>
      </c>
      <c r="M310" s="28" t="s">
        <v>14</v>
      </c>
      <c r="N310" s="27" t="s">
        <v>1884</v>
      </c>
      <c r="O310" s="27" t="s">
        <v>112</v>
      </c>
      <c r="P310" s="29" t="s">
        <v>113</v>
      </c>
      <c r="Q310" s="27" t="s">
        <v>2172</v>
      </c>
    </row>
    <row r="311" spans="1:17" x14ac:dyDescent="0.25">
      <c r="A311" s="30" t="s">
        <v>2315</v>
      </c>
      <c r="B311" s="27" t="s">
        <v>57</v>
      </c>
      <c r="C311" s="27" t="s">
        <v>1673</v>
      </c>
      <c r="D311" s="27" t="s">
        <v>133</v>
      </c>
      <c r="E311" s="28" t="s">
        <v>103</v>
      </c>
      <c r="F311" s="33" t="s">
        <v>134</v>
      </c>
      <c r="G311" s="27" t="s">
        <v>2316</v>
      </c>
      <c r="H311" s="27" t="s">
        <v>108</v>
      </c>
      <c r="I311" s="27" t="s">
        <v>2317</v>
      </c>
      <c r="J311" s="27" t="s">
        <v>108</v>
      </c>
      <c r="K311" s="27" t="s">
        <v>2318</v>
      </c>
      <c r="L311" s="27" t="s">
        <v>2319</v>
      </c>
      <c r="M311" s="28" t="s">
        <v>14</v>
      </c>
      <c r="N311" s="27" t="s">
        <v>1884</v>
      </c>
      <c r="O311" s="27" t="s">
        <v>112</v>
      </c>
      <c r="P311" s="29" t="s">
        <v>113</v>
      </c>
      <c r="Q311" s="27" t="s">
        <v>2172</v>
      </c>
    </row>
    <row r="312" spans="1:17" x14ac:dyDescent="0.25">
      <c r="A312" s="23" t="s">
        <v>2320</v>
      </c>
      <c r="B312" s="24" t="s">
        <v>57</v>
      </c>
      <c r="C312" s="24" t="s">
        <v>715</v>
      </c>
      <c r="D312" s="24" t="s">
        <v>133</v>
      </c>
      <c r="E312" s="25" t="s">
        <v>1824</v>
      </c>
      <c r="F312" s="34" t="s">
        <v>116</v>
      </c>
      <c r="G312" s="24" t="s">
        <v>2321</v>
      </c>
      <c r="H312" s="24" t="s">
        <v>108</v>
      </c>
      <c r="I312" s="24" t="s">
        <v>2322</v>
      </c>
      <c r="J312" s="24" t="s">
        <v>108</v>
      </c>
      <c r="K312" s="24" t="s">
        <v>2323</v>
      </c>
      <c r="L312" s="27" t="s">
        <v>2324</v>
      </c>
      <c r="M312" s="28" t="s">
        <v>14</v>
      </c>
      <c r="N312" s="27" t="s">
        <v>1884</v>
      </c>
      <c r="O312" s="27" t="s">
        <v>112</v>
      </c>
      <c r="P312" s="29" t="s">
        <v>113</v>
      </c>
      <c r="Q312" s="27" t="s">
        <v>2172</v>
      </c>
    </row>
    <row r="313" spans="1:17" x14ac:dyDescent="0.25">
      <c r="A313" s="30" t="s">
        <v>2325</v>
      </c>
      <c r="B313" s="27" t="s">
        <v>57</v>
      </c>
      <c r="C313" s="27" t="s">
        <v>2326</v>
      </c>
      <c r="D313" s="27" t="s">
        <v>750</v>
      </c>
      <c r="E313" s="28" t="s">
        <v>1824</v>
      </c>
      <c r="F313" s="31" t="s">
        <v>116</v>
      </c>
      <c r="G313" s="27" t="s">
        <v>2327</v>
      </c>
      <c r="H313" s="27" t="s">
        <v>108</v>
      </c>
      <c r="I313" s="27" t="s">
        <v>2328</v>
      </c>
      <c r="J313" s="27" t="s">
        <v>108</v>
      </c>
      <c r="K313" s="27" t="s">
        <v>2329</v>
      </c>
      <c r="L313" s="27" t="s">
        <v>2330</v>
      </c>
      <c r="M313" s="28" t="s">
        <v>14</v>
      </c>
      <c r="N313" s="27" t="s">
        <v>1884</v>
      </c>
      <c r="O313" s="27" t="s">
        <v>112</v>
      </c>
      <c r="P313" s="29" t="s">
        <v>113</v>
      </c>
      <c r="Q313" s="27" t="s">
        <v>2172</v>
      </c>
    </row>
    <row r="314" spans="1:17" x14ac:dyDescent="0.25">
      <c r="A314" s="23" t="s">
        <v>2331</v>
      </c>
      <c r="B314" s="24" t="s">
        <v>57</v>
      </c>
      <c r="C314" s="24" t="s">
        <v>572</v>
      </c>
      <c r="D314" s="24" t="s">
        <v>133</v>
      </c>
      <c r="E314" s="25" t="s">
        <v>1824</v>
      </c>
      <c r="F314" s="32" t="s">
        <v>134</v>
      </c>
      <c r="G314" s="24" t="s">
        <v>2332</v>
      </c>
      <c r="H314" s="24" t="s">
        <v>108</v>
      </c>
      <c r="I314" s="24" t="s">
        <v>2333</v>
      </c>
      <c r="J314" s="24" t="s">
        <v>108</v>
      </c>
      <c r="K314" s="24" t="s">
        <v>2334</v>
      </c>
      <c r="L314" s="27" t="s">
        <v>2335</v>
      </c>
      <c r="M314" s="28" t="s">
        <v>14</v>
      </c>
      <c r="N314" s="27" t="s">
        <v>1884</v>
      </c>
      <c r="O314" s="27" t="s">
        <v>112</v>
      </c>
      <c r="P314" s="29" t="s">
        <v>113</v>
      </c>
      <c r="Q314" s="27" t="s">
        <v>2172</v>
      </c>
    </row>
    <row r="315" spans="1:17" x14ac:dyDescent="0.25">
      <c r="A315" s="30" t="s">
        <v>2336</v>
      </c>
      <c r="B315" s="27" t="s">
        <v>57</v>
      </c>
      <c r="C315" s="27" t="s">
        <v>572</v>
      </c>
      <c r="D315" s="27" t="s">
        <v>133</v>
      </c>
      <c r="E315" s="28" t="s">
        <v>103</v>
      </c>
      <c r="F315" s="33" t="s">
        <v>134</v>
      </c>
      <c r="G315" s="27" t="s">
        <v>2337</v>
      </c>
      <c r="H315" s="27" t="s">
        <v>108</v>
      </c>
      <c r="I315" s="27" t="s">
        <v>2338</v>
      </c>
      <c r="J315" s="27" t="s">
        <v>108</v>
      </c>
      <c r="K315" s="27" t="s">
        <v>2339</v>
      </c>
      <c r="L315" s="27" t="s">
        <v>2340</v>
      </c>
      <c r="M315" s="28" t="s">
        <v>14</v>
      </c>
      <c r="N315" s="27" t="s">
        <v>1884</v>
      </c>
      <c r="O315" s="27" t="s">
        <v>112</v>
      </c>
      <c r="P315" s="29" t="s">
        <v>113</v>
      </c>
      <c r="Q315" s="27" t="s">
        <v>2172</v>
      </c>
    </row>
    <row r="316" spans="1:17" x14ac:dyDescent="0.25">
      <c r="A316" s="23" t="s">
        <v>2341</v>
      </c>
      <c r="B316" s="24" t="s">
        <v>57</v>
      </c>
      <c r="C316" s="24" t="s">
        <v>2342</v>
      </c>
      <c r="D316" s="24" t="s">
        <v>133</v>
      </c>
      <c r="E316" s="25" t="s">
        <v>103</v>
      </c>
      <c r="F316" s="34" t="s">
        <v>116</v>
      </c>
      <c r="G316" s="24" t="s">
        <v>2343</v>
      </c>
      <c r="H316" s="24" t="s">
        <v>108</v>
      </c>
      <c r="I316" s="24" t="s">
        <v>2344</v>
      </c>
      <c r="J316" s="24" t="s">
        <v>108</v>
      </c>
      <c r="K316" s="24" t="s">
        <v>2345</v>
      </c>
      <c r="L316" s="27" t="s">
        <v>2346</v>
      </c>
      <c r="M316" s="28" t="s">
        <v>14</v>
      </c>
      <c r="N316" s="27" t="s">
        <v>1884</v>
      </c>
      <c r="O316" s="27" t="s">
        <v>112</v>
      </c>
      <c r="P316" s="29" t="s">
        <v>113</v>
      </c>
      <c r="Q316" s="27" t="s">
        <v>2172</v>
      </c>
    </row>
    <row r="317" spans="1:17" x14ac:dyDescent="0.25">
      <c r="A317" s="30" t="s">
        <v>2347</v>
      </c>
      <c r="B317" s="27" t="s">
        <v>57</v>
      </c>
      <c r="C317" s="27" t="s">
        <v>2348</v>
      </c>
      <c r="D317" s="27" t="s">
        <v>133</v>
      </c>
      <c r="E317" s="28" t="s">
        <v>103</v>
      </c>
      <c r="F317" s="36" t="s">
        <v>104</v>
      </c>
      <c r="G317" s="27" t="s">
        <v>2349</v>
      </c>
      <c r="H317" s="27" t="s">
        <v>507</v>
      </c>
      <c r="I317" s="27" t="s">
        <v>2350</v>
      </c>
      <c r="J317" s="27" t="s">
        <v>108</v>
      </c>
      <c r="K317" s="27" t="s">
        <v>2351</v>
      </c>
      <c r="L317" s="27" t="s">
        <v>2352</v>
      </c>
      <c r="M317" s="28" t="s">
        <v>14</v>
      </c>
      <c r="N317" s="27" t="s">
        <v>1884</v>
      </c>
      <c r="O317" s="27" t="s">
        <v>112</v>
      </c>
      <c r="P317" s="29" t="s">
        <v>113</v>
      </c>
      <c r="Q317" s="27" t="s">
        <v>2172</v>
      </c>
    </row>
    <row r="318" spans="1:17" x14ac:dyDescent="0.25">
      <c r="A318" s="23" t="s">
        <v>2353</v>
      </c>
      <c r="B318" s="24" t="s">
        <v>57</v>
      </c>
      <c r="C318" s="24" t="s">
        <v>2348</v>
      </c>
      <c r="D318" s="24" t="s">
        <v>133</v>
      </c>
      <c r="E318" s="25" t="s">
        <v>141</v>
      </c>
      <c r="F318" s="34" t="s">
        <v>116</v>
      </c>
      <c r="G318" s="24" t="s">
        <v>2354</v>
      </c>
      <c r="H318" s="24" t="s">
        <v>108</v>
      </c>
      <c r="I318" s="24" t="s">
        <v>2355</v>
      </c>
      <c r="J318" s="24" t="s">
        <v>108</v>
      </c>
      <c r="K318" s="24" t="s">
        <v>2356</v>
      </c>
      <c r="L318" s="27" t="s">
        <v>2357</v>
      </c>
      <c r="M318" s="28" t="s">
        <v>14</v>
      </c>
      <c r="N318" s="27" t="s">
        <v>1884</v>
      </c>
      <c r="O318" s="27" t="s">
        <v>112</v>
      </c>
      <c r="P318" s="29" t="s">
        <v>113</v>
      </c>
      <c r="Q318" s="27" t="s">
        <v>2172</v>
      </c>
    </row>
    <row r="319" spans="1:17" x14ac:dyDescent="0.25">
      <c r="A319" s="30" t="s">
        <v>2358</v>
      </c>
      <c r="B319" s="27" t="s">
        <v>57</v>
      </c>
      <c r="C319" s="27" t="s">
        <v>2359</v>
      </c>
      <c r="D319" s="27" t="s">
        <v>133</v>
      </c>
      <c r="E319" s="28" t="s">
        <v>1837</v>
      </c>
      <c r="F319" s="31" t="s">
        <v>116</v>
      </c>
      <c r="G319" s="27" t="s">
        <v>2360</v>
      </c>
      <c r="H319" s="27" t="s">
        <v>108</v>
      </c>
      <c r="I319" s="27" t="s">
        <v>2361</v>
      </c>
      <c r="J319" s="27" t="s">
        <v>108</v>
      </c>
      <c r="K319" s="27" t="s">
        <v>2362</v>
      </c>
      <c r="L319" s="27" t="s">
        <v>2363</v>
      </c>
      <c r="M319" s="28" t="s">
        <v>14</v>
      </c>
      <c r="N319" s="27" t="s">
        <v>1884</v>
      </c>
      <c r="O319" s="27" t="s">
        <v>112</v>
      </c>
      <c r="P319" s="29" t="s">
        <v>113</v>
      </c>
      <c r="Q319" s="27" t="s">
        <v>2172</v>
      </c>
    </row>
    <row r="320" spans="1:17" x14ac:dyDescent="0.25">
      <c r="A320" s="23" t="s">
        <v>2364</v>
      </c>
      <c r="B320" s="24" t="s">
        <v>57</v>
      </c>
      <c r="C320" s="24" t="s">
        <v>1766</v>
      </c>
      <c r="D320" s="24" t="s">
        <v>133</v>
      </c>
      <c r="E320" s="25" t="s">
        <v>1753</v>
      </c>
      <c r="F320" s="34" t="s">
        <v>116</v>
      </c>
      <c r="G320" s="24" t="s">
        <v>2365</v>
      </c>
      <c r="H320" s="24" t="s">
        <v>108</v>
      </c>
      <c r="I320" s="24" t="s">
        <v>2366</v>
      </c>
      <c r="J320" s="24" t="s">
        <v>108</v>
      </c>
      <c r="K320" s="24" t="s">
        <v>2367</v>
      </c>
      <c r="L320" s="27" t="s">
        <v>2368</v>
      </c>
      <c r="M320" s="28" t="s">
        <v>14</v>
      </c>
      <c r="N320" s="27" t="s">
        <v>1884</v>
      </c>
      <c r="O320" s="27" t="s">
        <v>112</v>
      </c>
      <c r="P320" s="29" t="s">
        <v>113</v>
      </c>
      <c r="Q320" s="27" t="s">
        <v>2172</v>
      </c>
    </row>
    <row r="321" spans="1:17" x14ac:dyDescent="0.25">
      <c r="A321" s="30" t="s">
        <v>2369</v>
      </c>
      <c r="B321" s="27" t="s">
        <v>57</v>
      </c>
      <c r="C321" s="27" t="s">
        <v>2370</v>
      </c>
      <c r="D321" s="27" t="s">
        <v>133</v>
      </c>
      <c r="E321" s="28" t="s">
        <v>141</v>
      </c>
      <c r="F321" s="33" t="s">
        <v>134</v>
      </c>
      <c r="G321" s="27" t="s">
        <v>2371</v>
      </c>
      <c r="H321" s="27" t="s">
        <v>108</v>
      </c>
      <c r="I321" s="27" t="s">
        <v>2372</v>
      </c>
      <c r="J321" s="27" t="s">
        <v>108</v>
      </c>
      <c r="K321" s="27" t="s">
        <v>2373</v>
      </c>
      <c r="L321" s="27" t="s">
        <v>2374</v>
      </c>
      <c r="M321" s="28" t="s">
        <v>14</v>
      </c>
      <c r="N321" s="27" t="s">
        <v>1884</v>
      </c>
      <c r="O321" s="27" t="s">
        <v>112</v>
      </c>
      <c r="P321" s="29" t="s">
        <v>113</v>
      </c>
      <c r="Q321" s="27" t="s">
        <v>2172</v>
      </c>
    </row>
    <row r="322" spans="1:17" x14ac:dyDescent="0.25">
      <c r="A322" s="23" t="s">
        <v>2375</v>
      </c>
      <c r="B322" s="24" t="s">
        <v>57</v>
      </c>
      <c r="C322" s="24" t="s">
        <v>2376</v>
      </c>
      <c r="D322" s="24" t="s">
        <v>133</v>
      </c>
      <c r="E322" s="25" t="s">
        <v>141</v>
      </c>
      <c r="F322" s="32" t="s">
        <v>134</v>
      </c>
      <c r="G322" s="24" t="s">
        <v>2377</v>
      </c>
      <c r="H322" s="24" t="s">
        <v>108</v>
      </c>
      <c r="I322" s="24" t="s">
        <v>2378</v>
      </c>
      <c r="J322" s="24" t="s">
        <v>108</v>
      </c>
      <c r="K322" s="24" t="s">
        <v>2379</v>
      </c>
      <c r="L322" s="27" t="s">
        <v>2380</v>
      </c>
      <c r="M322" s="28" t="s">
        <v>14</v>
      </c>
      <c r="N322" s="27" t="s">
        <v>1884</v>
      </c>
      <c r="O322" s="27" t="s">
        <v>112</v>
      </c>
      <c r="P322" s="29" t="s">
        <v>113</v>
      </c>
      <c r="Q322" s="27" t="s">
        <v>2172</v>
      </c>
    </row>
    <row r="323" spans="1:17" x14ac:dyDescent="0.25">
      <c r="A323" s="30" t="s">
        <v>2381</v>
      </c>
      <c r="B323" s="27" t="s">
        <v>57</v>
      </c>
      <c r="C323" s="27" t="s">
        <v>2382</v>
      </c>
      <c r="D323" s="27" t="s">
        <v>133</v>
      </c>
      <c r="E323" s="28" t="s">
        <v>141</v>
      </c>
      <c r="F323" s="33" t="s">
        <v>134</v>
      </c>
      <c r="G323" s="27" t="s">
        <v>2383</v>
      </c>
      <c r="H323" s="27" t="s">
        <v>2384</v>
      </c>
      <c r="I323" s="27" t="s">
        <v>2385</v>
      </c>
      <c r="J323" s="27" t="s">
        <v>108</v>
      </c>
      <c r="K323" s="27" t="s">
        <v>2386</v>
      </c>
      <c r="L323" s="27" t="s">
        <v>2387</v>
      </c>
      <c r="M323" s="28" t="s">
        <v>14</v>
      </c>
      <c r="N323" s="27" t="s">
        <v>1884</v>
      </c>
      <c r="O323" s="27" t="s">
        <v>112</v>
      </c>
      <c r="P323" s="29" t="s">
        <v>113</v>
      </c>
      <c r="Q323" s="27" t="s">
        <v>2172</v>
      </c>
    </row>
    <row r="324" spans="1:17" x14ac:dyDescent="0.25">
      <c r="A324" s="23" t="s">
        <v>2388</v>
      </c>
      <c r="B324" s="24" t="s">
        <v>57</v>
      </c>
      <c r="C324" s="24" t="s">
        <v>2389</v>
      </c>
      <c r="D324" s="24" t="s">
        <v>133</v>
      </c>
      <c r="E324" s="25" t="s">
        <v>141</v>
      </c>
      <c r="F324" s="32" t="s">
        <v>134</v>
      </c>
      <c r="G324" s="24" t="s">
        <v>2390</v>
      </c>
      <c r="H324" s="24" t="s">
        <v>108</v>
      </c>
      <c r="I324" s="24" t="s">
        <v>2391</v>
      </c>
      <c r="J324" s="24" t="s">
        <v>108</v>
      </c>
      <c r="K324" s="24" t="s">
        <v>2392</v>
      </c>
      <c r="L324" s="27" t="s">
        <v>2393</v>
      </c>
      <c r="M324" s="28" t="s">
        <v>14</v>
      </c>
      <c r="N324" s="27" t="s">
        <v>1884</v>
      </c>
      <c r="O324" s="27" t="s">
        <v>112</v>
      </c>
      <c r="P324" s="29" t="s">
        <v>113</v>
      </c>
      <c r="Q324" s="27" t="s">
        <v>2172</v>
      </c>
    </row>
  </sheetData>
  <autoFilter ref="A1:Q324"/>
  <conditionalFormatting sqref="M2:M324">
    <cfRule type="containsText" dxfId="4" priority="1">
      <formula>NOT(ISERROR(SEARCH("Pass",M2)))</formula>
    </cfRule>
    <cfRule type="containsText" dxfId="5" priority="2">
      <formula>NOT(ISERROR(SEARCH("Fail",M2)))</formula>
    </cfRule>
    <cfRule type="containsText" dxfId="6" priority="3">
      <formula>NOT(ISERROR(SEARCH("Blocked",M2)))</formula>
    </cfRule>
    <cfRule type="containsText" dxfId="7" priority="4">
      <formula>NOT(ISERROR(SEARCH("N/A",M2)))</formula>
    </cfRule>
  </conditionalFormatting>
  <dataValidations count="2">
    <dataValidation type="list" allowBlank="1" sqref="M10:M324">
      <formula1>"Not Run,Pass,Fail,Blocked,N/A"</formula1>
    </dataValidation>
    <dataValidation type="list" allowBlank="1" sqref="M2:M324">
      <formula1>"Not Run,Pass,Fail,Blocked,N/A"</formula1>
    </dataValidation>
  </dataValidations>
  <pageSetup paperSize="9"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F13"/>
  <sheetFormatPr defaultRowHeight="15" outlineLevelRow="0" outlineLevelCol="0" x14ac:dyDescent="55"/>
  <cols>
    <col min="1" max="1" width="5" customWidth="1"/>
    <col min="2" max="2" width="34" customWidth="1"/>
    <col min="3" max="3" width="14" customWidth="1"/>
    <col min="4" max="4" width="28" customWidth="1"/>
    <col min="5" max="5" width="16" customWidth="1"/>
    <col min="6" max="6" width="46" customWidth="1"/>
  </cols>
  <sheetData>
    <row r="1" spans="1:6" x14ac:dyDescent="0.25">
      <c r="A1" s="38" t="s">
        <v>2394</v>
      </c>
      <c r="B1" s="38" t="s">
        <v>2395</v>
      </c>
      <c r="C1" s="38" t="s">
        <v>86</v>
      </c>
      <c r="D1" s="38" t="s">
        <v>402</v>
      </c>
      <c r="E1" s="38" t="s">
        <v>1568</v>
      </c>
      <c r="F1" s="38" t="s">
        <v>2396</v>
      </c>
    </row>
    <row r="2" spans="1:6" x14ac:dyDescent="0.25">
      <c r="A2" s="39">
        <v>1</v>
      </c>
      <c r="B2" s="39" t="s">
        <v>2397</v>
      </c>
      <c r="C2" s="39" t="s">
        <v>2398</v>
      </c>
      <c r="D2" s="39" t="s">
        <v>816</v>
      </c>
      <c r="E2" s="39" t="s">
        <v>2399</v>
      </c>
      <c r="F2" s="39" t="s">
        <v>2400</v>
      </c>
    </row>
    <row r="3" spans="1:6" x14ac:dyDescent="0.25">
      <c r="A3" s="39">
        <v>2</v>
      </c>
      <c r="B3" s="39" t="s">
        <v>2401</v>
      </c>
      <c r="C3" s="39" t="s">
        <v>2402</v>
      </c>
      <c r="D3" s="39" t="s">
        <v>2403</v>
      </c>
      <c r="E3" s="39" t="s">
        <v>2404</v>
      </c>
      <c r="F3" s="39" t="s">
        <v>2405</v>
      </c>
    </row>
    <row r="4" spans="1:6" x14ac:dyDescent="0.25">
      <c r="A4" s="39">
        <v>3</v>
      </c>
      <c r="B4" s="39" t="s">
        <v>2406</v>
      </c>
      <c r="C4" s="39" t="s">
        <v>2402</v>
      </c>
      <c r="D4" s="39" t="s">
        <v>2407</v>
      </c>
      <c r="E4" s="39" t="s">
        <v>2404</v>
      </c>
      <c r="F4" s="39" t="s">
        <v>2408</v>
      </c>
    </row>
    <row r="5" spans="1:6" x14ac:dyDescent="0.25">
      <c r="A5" s="39">
        <v>4</v>
      </c>
      <c r="B5" s="39" t="s">
        <v>2409</v>
      </c>
      <c r="C5" s="39" t="s">
        <v>2410</v>
      </c>
      <c r="D5" s="39" t="s">
        <v>2411</v>
      </c>
      <c r="E5" s="39" t="s">
        <v>2404</v>
      </c>
      <c r="F5" s="39" t="s">
        <v>2412</v>
      </c>
    </row>
    <row r="6" spans="1:6" x14ac:dyDescent="0.25">
      <c r="A6" s="39">
        <v>5</v>
      </c>
      <c r="B6" s="39" t="s">
        <v>2413</v>
      </c>
      <c r="C6" s="39" t="s">
        <v>2414</v>
      </c>
      <c r="D6" s="39" t="s">
        <v>2415</v>
      </c>
      <c r="E6" s="39" t="s">
        <v>2404</v>
      </c>
      <c r="F6" s="39" t="s">
        <v>2416</v>
      </c>
    </row>
    <row r="7" spans="1:6" x14ac:dyDescent="0.25">
      <c r="A7" s="39">
        <v>6</v>
      </c>
      <c r="B7" s="39" t="s">
        <v>2417</v>
      </c>
      <c r="C7" s="39" t="s">
        <v>2418</v>
      </c>
      <c r="D7" s="39" t="s">
        <v>2419</v>
      </c>
      <c r="E7" s="39" t="s">
        <v>2404</v>
      </c>
      <c r="F7" s="39" t="s">
        <v>2405</v>
      </c>
    </row>
    <row r="8" spans="1:6" x14ac:dyDescent="0.25">
      <c r="A8" s="39">
        <v>7</v>
      </c>
      <c r="B8" s="39" t="s">
        <v>2420</v>
      </c>
      <c r="C8" s="39" t="s">
        <v>2421</v>
      </c>
      <c r="D8" s="39" t="s">
        <v>2422</v>
      </c>
      <c r="E8" s="39" t="s">
        <v>2404</v>
      </c>
      <c r="F8" s="39" t="s">
        <v>2423</v>
      </c>
    </row>
    <row r="9" spans="1:6" x14ac:dyDescent="0.25">
      <c r="A9" s="39">
        <v>8</v>
      </c>
      <c r="B9" s="39" t="s">
        <v>2424</v>
      </c>
      <c r="C9" s="39" t="s">
        <v>2410</v>
      </c>
      <c r="D9" s="39" t="s">
        <v>2425</v>
      </c>
      <c r="E9" s="39" t="s">
        <v>2404</v>
      </c>
      <c r="F9" s="39" t="s">
        <v>2426</v>
      </c>
    </row>
    <row r="10" spans="1:6" x14ac:dyDescent="0.25">
      <c r="A10" s="39">
        <v>9</v>
      </c>
      <c r="B10" s="39" t="s">
        <v>2427</v>
      </c>
      <c r="C10" s="39" t="s">
        <v>2410</v>
      </c>
      <c r="D10" s="39" t="s">
        <v>2428</v>
      </c>
      <c r="E10" s="39" t="s">
        <v>2404</v>
      </c>
      <c r="F10" s="39" t="s">
        <v>2429</v>
      </c>
    </row>
    <row r="11" spans="1:6" x14ac:dyDescent="0.25">
      <c r="A11" s="39">
        <v>10</v>
      </c>
      <c r="B11" s="39" t="s">
        <v>2430</v>
      </c>
      <c r="C11" s="39" t="s">
        <v>2410</v>
      </c>
      <c r="D11" s="39" t="s">
        <v>2431</v>
      </c>
      <c r="E11" s="39" t="s">
        <v>2404</v>
      </c>
      <c r="F11" s="39" t="s">
        <v>2432</v>
      </c>
    </row>
    <row r="12" spans="1:6" x14ac:dyDescent="0.25">
      <c r="A12" s="39">
        <v>11</v>
      </c>
      <c r="B12" s="39" t="s">
        <v>2433</v>
      </c>
      <c r="C12" s="39" t="s">
        <v>2414</v>
      </c>
      <c r="D12" s="39" t="s">
        <v>2434</v>
      </c>
      <c r="E12" s="39" t="s">
        <v>2435</v>
      </c>
      <c r="F12" s="39" t="s">
        <v>2436</v>
      </c>
    </row>
    <row r="13" spans="1:6" x14ac:dyDescent="0.25">
      <c r="A13" s="39">
        <v>12</v>
      </c>
      <c r="B13" s="39" t="s">
        <v>2437</v>
      </c>
      <c r="C13" s="39" t="s">
        <v>2414</v>
      </c>
      <c r="D13" s="39" t="s">
        <v>2438</v>
      </c>
      <c r="E13" s="39" t="s">
        <v>2404</v>
      </c>
      <c r="F13" s="39" t="s">
        <v>2439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899"/>
  </sheetPr>
  <dimension ref="A1:H13"/>
  <sheetFormatPr defaultRowHeight="15" outlineLevelRow="0" outlineLevelCol="0" x14ac:dyDescent="55"/>
  <cols>
    <col min="1" max="1" width="12" customWidth="1"/>
    <col min="2" max="2" width="30" customWidth="1"/>
    <col min="3" max="3" width="22" customWidth="1"/>
    <col min="4" max="4" width="16" customWidth="1"/>
    <col min="5" max="5" width="10" customWidth="1"/>
    <col min="6" max="7" width="12" customWidth="1"/>
    <col min="8" max="8" width="30" customWidth="1"/>
  </cols>
  <sheetData>
    <row r="1" spans="1:8" x14ac:dyDescent="0.25">
      <c r="A1" s="38" t="s">
        <v>12</v>
      </c>
      <c r="B1" s="38" t="s">
        <v>2440</v>
      </c>
      <c r="C1" s="38" t="s">
        <v>1780</v>
      </c>
      <c r="D1" s="38" t="s">
        <v>2441</v>
      </c>
      <c r="E1" s="38" t="s">
        <v>88</v>
      </c>
      <c r="F1" s="38" t="s">
        <v>2442</v>
      </c>
      <c r="G1" s="38" t="s">
        <v>2443</v>
      </c>
      <c r="H1" s="38" t="s">
        <v>2444</v>
      </c>
    </row>
    <row r="2" spans="1:8" x14ac:dyDescent="0.25">
      <c r="A2" s="4" t="s">
        <v>20</v>
      </c>
      <c r="B2" s="4" t="s">
        <v>2445</v>
      </c>
      <c r="C2" s="4" t="s">
        <v>2446</v>
      </c>
      <c r="D2" s="4" t="s">
        <v>2447</v>
      </c>
      <c r="E2" s="4" t="s">
        <v>104</v>
      </c>
      <c r="F2" s="4" t="s">
        <v>14</v>
      </c>
      <c r="G2" s="4" t="s">
        <v>14</v>
      </c>
      <c r="H2" s="4" t="s">
        <v>2448</v>
      </c>
    </row>
    <row r="3" spans="1:8" x14ac:dyDescent="0.25">
      <c r="A3" s="4" t="s">
        <v>20</v>
      </c>
      <c r="B3" s="4" t="s">
        <v>2445</v>
      </c>
      <c r="C3" s="4" t="s">
        <v>2449</v>
      </c>
      <c r="D3" s="4" t="s">
        <v>2450</v>
      </c>
      <c r="E3" s="4" t="s">
        <v>104</v>
      </c>
      <c r="F3" s="4" t="s">
        <v>14</v>
      </c>
      <c r="G3" s="4" t="s">
        <v>14</v>
      </c>
      <c r="H3" s="4" t="s">
        <v>2448</v>
      </c>
    </row>
    <row r="4" spans="1:8" x14ac:dyDescent="0.25">
      <c r="A4" s="4" t="s">
        <v>20</v>
      </c>
      <c r="B4" s="4" t="s">
        <v>2451</v>
      </c>
      <c r="C4" s="4" t="s">
        <v>2452</v>
      </c>
      <c r="D4" s="4" t="s">
        <v>2453</v>
      </c>
      <c r="E4" s="4" t="s">
        <v>116</v>
      </c>
      <c r="F4" s="4" t="s">
        <v>14</v>
      </c>
      <c r="G4" s="4" t="s">
        <v>14</v>
      </c>
      <c r="H4" s="4" t="s">
        <v>2448</v>
      </c>
    </row>
    <row r="5" spans="1:8" x14ac:dyDescent="0.25">
      <c r="A5" s="4" t="s">
        <v>20</v>
      </c>
      <c r="B5" s="4" t="s">
        <v>2454</v>
      </c>
      <c r="C5" s="4" t="s">
        <v>2455</v>
      </c>
      <c r="D5" s="4" t="s">
        <v>2453</v>
      </c>
      <c r="E5" s="4" t="s">
        <v>116</v>
      </c>
      <c r="F5" s="4" t="s">
        <v>14</v>
      </c>
      <c r="G5" s="4" t="s">
        <v>14</v>
      </c>
      <c r="H5" s="4" t="s">
        <v>2448</v>
      </c>
    </row>
    <row r="6" spans="1:8" x14ac:dyDescent="0.25">
      <c r="A6" s="4" t="s">
        <v>21</v>
      </c>
      <c r="B6" s="4" t="s">
        <v>2456</v>
      </c>
      <c r="C6" s="4" t="s">
        <v>2457</v>
      </c>
      <c r="D6" s="4" t="s">
        <v>2458</v>
      </c>
      <c r="E6" s="4" t="s">
        <v>104</v>
      </c>
      <c r="F6" s="4" t="s">
        <v>14</v>
      </c>
      <c r="G6" s="4" t="s">
        <v>14</v>
      </c>
      <c r="H6" s="4" t="s">
        <v>2448</v>
      </c>
    </row>
    <row r="7" spans="1:8" x14ac:dyDescent="0.25">
      <c r="A7" s="4" t="s">
        <v>21</v>
      </c>
      <c r="B7" s="4" t="s">
        <v>2459</v>
      </c>
      <c r="C7" s="4" t="s">
        <v>2457</v>
      </c>
      <c r="D7" s="4" t="s">
        <v>2460</v>
      </c>
      <c r="E7" s="4" t="s">
        <v>104</v>
      </c>
      <c r="F7" s="4" t="s">
        <v>14</v>
      </c>
      <c r="G7" s="4" t="s">
        <v>14</v>
      </c>
      <c r="H7" s="4" t="s">
        <v>2448</v>
      </c>
    </row>
    <row r="8" spans="1:8" x14ac:dyDescent="0.25">
      <c r="A8" s="4" t="s">
        <v>21</v>
      </c>
      <c r="B8" s="4" t="s">
        <v>2461</v>
      </c>
      <c r="C8" s="4" t="s">
        <v>2462</v>
      </c>
      <c r="D8" s="4" t="s">
        <v>2463</v>
      </c>
      <c r="E8" s="4" t="s">
        <v>116</v>
      </c>
      <c r="F8" s="4" t="s">
        <v>14</v>
      </c>
      <c r="G8" s="4" t="s">
        <v>14</v>
      </c>
      <c r="H8" s="4" t="s">
        <v>2448</v>
      </c>
    </row>
    <row r="9" spans="1:8" x14ac:dyDescent="0.25">
      <c r="A9" s="4" t="s">
        <v>21</v>
      </c>
      <c r="B9" s="4" t="s">
        <v>2464</v>
      </c>
      <c r="C9" s="4" t="s">
        <v>2465</v>
      </c>
      <c r="D9" s="4" t="s">
        <v>2466</v>
      </c>
      <c r="E9" s="4" t="s">
        <v>104</v>
      </c>
      <c r="F9" s="4" t="s">
        <v>14</v>
      </c>
      <c r="G9" s="4" t="s">
        <v>14</v>
      </c>
      <c r="H9" s="4" t="s">
        <v>2448</v>
      </c>
    </row>
    <row r="10" spans="1:8" x14ac:dyDescent="0.25">
      <c r="A10" s="4" t="s">
        <v>21</v>
      </c>
      <c r="B10" s="4" t="s">
        <v>2467</v>
      </c>
      <c r="C10" s="4" t="s">
        <v>2465</v>
      </c>
      <c r="D10" s="4" t="s">
        <v>2468</v>
      </c>
      <c r="E10" s="4" t="s">
        <v>116</v>
      </c>
      <c r="F10" s="4" t="s">
        <v>14</v>
      </c>
      <c r="G10" s="4" t="s">
        <v>14</v>
      </c>
      <c r="H10" s="4" t="s">
        <v>2448</v>
      </c>
    </row>
    <row r="11" spans="1:8" x14ac:dyDescent="0.25">
      <c r="A11" s="4" t="s">
        <v>21</v>
      </c>
      <c r="B11" s="4" t="s">
        <v>2469</v>
      </c>
      <c r="C11" s="4" t="s">
        <v>2470</v>
      </c>
      <c r="D11" s="4" t="s">
        <v>2466</v>
      </c>
      <c r="E11" s="4" t="s">
        <v>134</v>
      </c>
      <c r="F11" s="4" t="s">
        <v>14</v>
      </c>
      <c r="G11" s="4" t="s">
        <v>14</v>
      </c>
      <c r="H11" s="4" t="s">
        <v>2448</v>
      </c>
    </row>
    <row r="12" spans="1:8" x14ac:dyDescent="0.25">
      <c r="A12" s="4" t="s">
        <v>2471</v>
      </c>
      <c r="B12" s="4" t="s">
        <v>2472</v>
      </c>
      <c r="C12" s="4" t="s">
        <v>2457</v>
      </c>
      <c r="D12" s="4" t="s">
        <v>2473</v>
      </c>
      <c r="E12" s="4" t="s">
        <v>116</v>
      </c>
      <c r="F12" s="4" t="s">
        <v>14</v>
      </c>
      <c r="G12" s="4" t="s">
        <v>14</v>
      </c>
      <c r="H12" s="4" t="s">
        <v>2448</v>
      </c>
    </row>
    <row r="13" spans="1:8" x14ac:dyDescent="0.25">
      <c r="A13" s="4" t="s">
        <v>2471</v>
      </c>
      <c r="B13" s="4" t="s">
        <v>2474</v>
      </c>
      <c r="C13" s="4" t="s">
        <v>2465</v>
      </c>
      <c r="D13" s="4" t="s">
        <v>2475</v>
      </c>
      <c r="E13" s="4" t="s">
        <v>134</v>
      </c>
      <c r="F13" s="4" t="s">
        <v>14</v>
      </c>
      <c r="G13" s="4" t="s">
        <v>14</v>
      </c>
      <c r="H13" s="4" t="s">
        <v>2448</v>
      </c>
    </row>
  </sheetData>
  <dataValidations count="2">
    <dataValidation type="list" allowBlank="1" sqref="F10:G13">
      <formula1>"Not Run,Pass,Fail,Blocked,N/A"</formula1>
    </dataValidation>
    <dataValidation type="list" allowBlank="1" sqref="F2:G13">
      <formula1>"Not Run,Pass,Fail,Blocked,N/A"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Desktop Test Cases</vt:lpstr>
      <vt:lpstr>Mobile Test Cases</vt:lpstr>
      <vt:lpstr>Test Accounts</vt:lpstr>
      <vt:lpstr>Devices &amp; Browsers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dc:title/>
  <dc:subject/>
  <dc:description/>
  <cp:keywords/>
  <cp:category/>
  <cp:lastModifiedBy>Unknown</cp:lastModifiedBy>
  <dcterms:created xsi:type="dcterms:W3CDTF">2026-10-05T02:06:01Z</dcterms:created>
  <dcterms:modified xsi:type="dcterms:W3CDTF">2026-10-05T02:06:01Z</dcterms:modified>
</cp:coreProperties>
</file>